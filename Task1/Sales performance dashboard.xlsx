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bookViews>
  <sheets>
    <sheet name="Sheet2" sheetId="3" r:id="rId1"/>
    <sheet name="Sheet3" sheetId="4" r:id="rId2"/>
    <sheet name="Sheet1" sheetId="2" r:id="rId3"/>
  </sheets>
  <definedNames>
    <definedName name="Slicer_Category">#N/A</definedName>
    <definedName name="Slicer_Region">#N/A</definedName>
  </definedNames>
  <calcPr calcId="152511"/>
  <pivotCaches>
    <pivotCache cacheId="9"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I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alcChain>
</file>

<file path=xl/sharedStrings.xml><?xml version="1.0" encoding="utf-8"?>
<sst xmlns="http://schemas.openxmlformats.org/spreadsheetml/2006/main" count="2039" uniqueCount="544">
  <si>
    <t>Order ID</t>
  </si>
  <si>
    <t>Order Date</t>
  </si>
  <si>
    <t>Region</t>
  </si>
  <si>
    <t>Category</t>
  </si>
  <si>
    <t>Sub-Category</t>
  </si>
  <si>
    <t>Sales</t>
  </si>
  <si>
    <t>Quantity</t>
  </si>
  <si>
    <t>Profit</t>
  </si>
  <si>
    <t>ORD-1001</t>
  </si>
  <si>
    <t>East</t>
  </si>
  <si>
    <t>Technology</t>
  </si>
  <si>
    <t>Machines</t>
  </si>
  <si>
    <t>ORD-1002</t>
  </si>
  <si>
    <t>West</t>
  </si>
  <si>
    <t>Phones</t>
  </si>
  <si>
    <t>ORD-1003</t>
  </si>
  <si>
    <t>Central</t>
  </si>
  <si>
    <t>Furniture</t>
  </si>
  <si>
    <t>Tables</t>
  </si>
  <si>
    <t>ORD-1004</t>
  </si>
  <si>
    <t>South</t>
  </si>
  <si>
    <t>ORD-1005</t>
  </si>
  <si>
    <t>ORD-1006</t>
  </si>
  <si>
    <t>ORD-1007</t>
  </si>
  <si>
    <t>Accessories</t>
  </si>
  <si>
    <t>ORD-1008</t>
  </si>
  <si>
    <t>ORD-1009</t>
  </si>
  <si>
    <t>Bookcases</t>
  </si>
  <si>
    <t>ORD-1010</t>
  </si>
  <si>
    <t>Office Supplies</t>
  </si>
  <si>
    <t>Binders</t>
  </si>
  <si>
    <t>ORD-1011</t>
  </si>
  <si>
    <t>ORD-1012</t>
  </si>
  <si>
    <t>ORD-1013</t>
  </si>
  <si>
    <t>ORD-1014</t>
  </si>
  <si>
    <t>ORD-1015</t>
  </si>
  <si>
    <t>ORD-1016</t>
  </si>
  <si>
    <t>ORD-1017</t>
  </si>
  <si>
    <t>ORD-1018</t>
  </si>
  <si>
    <t>ORD-1019</t>
  </si>
  <si>
    <t>Paper</t>
  </si>
  <si>
    <t>ORD-1020</t>
  </si>
  <si>
    <t>ORD-1021</t>
  </si>
  <si>
    <t>ORD-1022</t>
  </si>
  <si>
    <t>ORD-1023</t>
  </si>
  <si>
    <t>ORD-1024</t>
  </si>
  <si>
    <t>ORD-1025</t>
  </si>
  <si>
    <t>ORD-1026</t>
  </si>
  <si>
    <t>ORD-1027</t>
  </si>
  <si>
    <t>ORD-1028</t>
  </si>
  <si>
    <t>Storage</t>
  </si>
  <si>
    <t>ORD-1029</t>
  </si>
  <si>
    <t>ORD-1030</t>
  </si>
  <si>
    <t>ORD-1031</t>
  </si>
  <si>
    <t>ORD-1032</t>
  </si>
  <si>
    <t>ORD-1033</t>
  </si>
  <si>
    <t>ORD-1034</t>
  </si>
  <si>
    <t>ORD-1035</t>
  </si>
  <si>
    <t>ORD-1036</t>
  </si>
  <si>
    <t>ORD-1037</t>
  </si>
  <si>
    <t>ORD-1038</t>
  </si>
  <si>
    <t>ORD-1039</t>
  </si>
  <si>
    <t>Chairs</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</si>
  <si>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</si>
  <si>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</si>
  <si>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</si>
  <si>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</si>
  <si>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</si>
  <si>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</si>
  <si>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</si>
  <si>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</si>
  <si>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</si>
  <si>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</si>
  <si>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</si>
  <si>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</si>
  <si>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</si>
  <si>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</si>
  <si>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</si>
  <si>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</si>
  <si>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</si>
  <si>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</si>
  <si>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</si>
  <si>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</si>
  <si>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</si>
  <si>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</si>
  <si>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</si>
  <si>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</si>
  <si>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</si>
  <si>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</si>
  <si>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</si>
  <si>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</si>
  <si>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</si>
  <si>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</si>
  <si>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</si>
  <si>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</si>
  <si>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</si>
  <si>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</si>
  <si>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</si>
  <si>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</si>
  <si>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</si>
  <si>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</si>
  <si>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</si>
  <si>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</si>
  <si>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</si>
  <si>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</si>
  <si>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</si>
  <si>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</si>
  <si>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</si>
  <si>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</si>
  <si>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</si>
  <si>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</si>
  <si>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</si>
  <si>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</si>
  <si>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</si>
  <si>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</si>
  <si>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</si>
  <si>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</si>
  <si>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</si>
  <si>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</si>
  <si>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</si>
  <si>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</si>
  <si>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</si>
  <si>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</si>
  <si>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</si>
  <si>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</si>
  <si>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</si>
  <si>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</si>
  <si>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</si>
  <si>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</si>
  <si>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</si>
  <si>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</si>
  <si>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</si>
  <si>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</si>
  <si>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</si>
  <si>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</si>
  <si>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</si>
  <si>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</si>
  <si>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</si>
  <si>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</si>
  <si>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</si>
  <si>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</si>
  <si>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</si>
  <si>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</si>
  <si>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</si>
  <si>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</si>
  <si>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</si>
  <si>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</si>
  <si>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</si>
  <si>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</si>
  <si>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</si>
  <si>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</si>
  <si>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</si>
  <si>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</si>
  <si>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</si>
  <si>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</si>
  <si>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</si>
  <si>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</si>
  <si>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</si>
  <si>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</si>
  <si>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</si>
  <si>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</si>
  <si>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</si>
  <si>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</si>
  <si>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</si>
  <si>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</si>
  <si>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</si>
  <si>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</si>
  <si>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</si>
  <si>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</si>
  <si>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</si>
  <si>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</si>
  <si>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</si>
  <si>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</si>
  <si>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</si>
  <si>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</si>
  <si>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</si>
  <si>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</si>
  <si>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</si>
  <si>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</si>
  <si>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</si>
  <si>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</si>
  <si>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</si>
  <si>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</si>
  <si>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</si>
  <si>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</si>
  <si>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</si>
  <si>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</si>
  <si>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</si>
  <si>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</si>
  <si>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</si>
  <si>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</si>
  <si>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</si>
  <si>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</si>
  <si>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</si>
  <si>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</si>
  <si>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</si>
  <si>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</si>
  <si>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</si>
  <si>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</si>
  <si>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</si>
  <si>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</si>
  <si>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</si>
  <si>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</si>
  <si>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</si>
  <si>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</si>
  <si>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</si>
  <si>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</si>
  <si>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</si>
  <si>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</si>
  <si>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</si>
  <si>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</si>
  <si>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</si>
  <si>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</si>
  <si>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</si>
  <si>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</si>
  <si>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</si>
  <si>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</si>
  <si>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</si>
  <si>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</si>
  <si>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</si>
  <si>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</si>
  <si>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</si>
  <si>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</si>
  <si>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</si>
  <si>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</si>
  <si>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</si>
  <si>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</si>
  <si>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</si>
  <si>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</si>
  <si>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</si>
  <si>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</si>
  <si>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</si>
  <si>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</si>
  <si>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</si>
  <si>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</si>
  <si>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</si>
  <si>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</si>
  <si>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</si>
  <si>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</si>
  <si>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</si>
  <si>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</si>
  <si>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</si>
  <si>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</si>
  <si>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</si>
  <si>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</si>
  <si>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</si>
  <si>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</si>
  <si>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</si>
  <si>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</si>
  <si>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</si>
  <si>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</si>
  <si>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</si>
  <si>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</si>
  <si>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</si>
  <si>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</si>
  <si>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</si>
  <si>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</si>
  <si>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</si>
  <si>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</si>
  <si>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</si>
  <si>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</si>
  <si>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</si>
  <si>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</si>
  <si>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</si>
  <si>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</si>
  <si>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</si>
  <si>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</si>
  <si>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</si>
  <si>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</si>
  <si>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</si>
  <si>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</si>
  <si>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</si>
  <si>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</si>
  <si>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</si>
  <si>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</si>
  <si>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</si>
  <si>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</si>
  <si>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</si>
  <si>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</si>
  <si>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</si>
  <si>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</si>
  <si>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</si>
  <si>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</si>
  <si>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</si>
  <si>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</si>
  <si>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</si>
  <si>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</si>
  <si>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</si>
  <si>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</si>
  <si>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</si>
  <si>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</si>
  <si>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</si>
  <si>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</si>
  <si>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</si>
  <si>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</si>
  <si>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</si>
  <si>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</si>
  <si>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</si>
  <si>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</si>
  <si>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</si>
  <si>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</si>
  <si>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</si>
  <si>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</si>
  <si>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</si>
  <si>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</si>
  <si>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</si>
  <si>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</si>
  <si>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</si>
  <si>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</si>
  <si>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</si>
  <si>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</si>
  <si>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</si>
  <si>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</si>
  <si>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</si>
  <si>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</si>
  <si>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</si>
  <si>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</si>
  <si>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</si>
  <si>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</si>
  <si>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</si>
  <si>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</si>
  <si>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</si>
  <si>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</si>
  <si>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</si>
  <si>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</si>
  <si>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</si>
  <si>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</si>
  <si>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</si>
  <si>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</si>
  <si>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</si>
  <si>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</si>
  <si>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</si>
  <si>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</si>
  <si>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</si>
  <si>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</si>
  <si>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</si>
  <si>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</si>
  <si>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</si>
  <si>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</si>
  <si>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</si>
  <si>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</si>
  <si>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</si>
  <si>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</si>
  <si>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</si>
  <si>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</si>
  <si>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</si>
  <si>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</si>
  <si>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</si>
  <si>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</si>
  <si>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</si>
  <si>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</si>
  <si>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</si>
  <si>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</si>
  <si>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</si>
  <si>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</si>
  <si>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</si>
  <si>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</si>
  <si>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</si>
  <si>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</si>
  <si>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</si>
  <si>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</si>
  <si>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</si>
  <si>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</si>
  <si>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</si>
  <si>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</si>
  <si>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</si>
  <si>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</si>
  <si>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</si>
  <si>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</si>
  <si>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</si>
  <si>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</si>
  <si>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</si>
  <si>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</si>
  <si>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</si>
  <si>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</si>
  <si>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</si>
  <si>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</si>
  <si>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</si>
  <si>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</si>
  <si>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</si>
  <si>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</si>
  <si>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</si>
  <si>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</si>
  <si>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</si>
  <si>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</si>
  <si>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</si>
  <si>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</si>
  <si>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</si>
  <si>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</si>
  <si>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</si>
  <si>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</si>
  <si>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</si>
  <si>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</si>
  <si>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</si>
  <si>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</si>
  <si>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</si>
  <si>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</si>
  <si>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</si>
  <si>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</si>
  <si>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</si>
  <si>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</si>
  <si>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</si>
  <si>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</si>
  <si>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</si>
  <si>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</si>
  <si>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</si>
  <si>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</si>
  <si>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</si>
  <si>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</si>
  <si>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</si>
  <si>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</si>
  <si>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</si>
  <si>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</si>
  <si>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</si>
  <si>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</si>
  <si>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</si>
  <si>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</si>
  <si>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</si>
  <si>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</si>
  <si>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</si>
  <si>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</si>
  <si>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</si>
  <si>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</si>
  <si>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</si>
  <si>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</si>
  <si>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</si>
  <si>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</si>
  <si>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</si>
  <si>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</si>
  <si>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</si>
  <si>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</si>
  <si>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</si>
  <si>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</si>
  <si>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</si>
  <si>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</si>
  <si>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</si>
  <si>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</si>
  <si>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</si>
  <si>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</si>
  <si>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</si>
  <si>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</si>
  <si>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</si>
  <si>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</si>
  <si>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</si>
  <si>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</si>
  <si>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</si>
  <si>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</si>
  <si>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</si>
  <si>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</si>
  <si>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</si>
  <si>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</si>
  <si>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</si>
  <si>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</si>
  <si>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</si>
  <si>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</si>
  <si>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</si>
  <si>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</si>
  <si>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</si>
  <si>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</si>
  <si>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</si>
  <si>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</si>
  <si>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</si>
  <si>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</si>
  <si>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</si>
  <si>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</si>
  <si>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</si>
  <si>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</si>
  <si>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</si>
  <si>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</si>
  <si>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</si>
  <si>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</si>
  <si>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</si>
  <si>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</si>
  <si>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</si>
  <si>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</si>
  <si>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</si>
  <si>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</si>
  <si>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</si>
  <si>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</si>
  <si>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</si>
  <si>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</si>
  <si>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</si>
  <si>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</si>
  <si>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</si>
  <si>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</si>
  <si>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</si>
  <si>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</si>
  <si>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</si>
  <si>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</si>
  <si>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</si>
  <si>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</si>
  <si>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</si>
  <si>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</si>
  <si>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</si>
  <si>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</si>
  <si>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</si>
  <si>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</si>
  <si>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</si>
  <si>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</si>
  <si>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</si>
  <si>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</si>
  <si>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</si>
  <si>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</si>
  <si>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</si>
  <si>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</si>
  <si>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</si>
  <si>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</si>
  <si>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</si>
  <si>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</si>
  <si>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</si>
  <si>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</si>
  <si>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</si>
  <si>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</si>
  <si>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</si>
  <si>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</si>
  <si>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</si>
  <si>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</si>
  <si>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</si>
  <si>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</si>
  <si>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</si>
  <si>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</si>
  <si>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</si>
  <si>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</si>
  <si>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</si>
  <si>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Year</t>
  </si>
  <si>
    <t>Row Labels</t>
  </si>
  <si>
    <t>Grand Total</t>
  </si>
  <si>
    <t>2022</t>
  </si>
  <si>
    <t>Jan</t>
  </si>
  <si>
    <t>Feb</t>
  </si>
  <si>
    <t>Mar</t>
  </si>
  <si>
    <t>Apr</t>
  </si>
  <si>
    <t>May</t>
  </si>
  <si>
    <t>Jun</t>
  </si>
  <si>
    <t>Jul</t>
  </si>
  <si>
    <t>Aug</t>
  </si>
  <si>
    <t>Sep</t>
  </si>
  <si>
    <t>Oct</t>
  </si>
  <si>
    <t>Nov</t>
  </si>
  <si>
    <t>Dec</t>
  </si>
  <si>
    <t>2023</t>
  </si>
  <si>
    <t>% MoM Change.</t>
  </si>
  <si>
    <t>Total Revenue</t>
  </si>
  <si>
    <t>Units Sold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</si>
</sst>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indent="2"/>
    </xf>
  </cellXfs>
  <cellStyles count="1">
    <cellStyle name="Normal" xfId="0" builtinId="0"/>
  </cellStyles>
  <dxfs count="2">
    <dxf>
      <numFmt numFmtId="0" formatCode="General"/>
    </dxf>
    <dxf>
      <numFmt numFmtId="19" formatCode="m/d/yyyy"/>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dashboard.xlsx]Sheet2!PivotTable2</c:name>
    <c:fmtId val="2"/>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s>
    <c:plotArea>
      <c:layout>
        <c:manualLayout>
          <c:layoutTarget val="inner"/>
          <c:xMode val="edge"/>
          <c:yMode val="edge"/>
          <c:x val="9.0455627507449524E-2"/>
          <c:y val="3.2407407407407406E-2"/>
          <c:w val="0.63136177745223709"/>
          <c:h val="0.67835301837270345"/>
        </c:manualLayout>
      </c:layout>
      <c:lineChart>
        <c:grouping val="standard"/>
        <c:varyColors val="0"/>
        <c:ser>
          <c:idx val="0"/>
          <c:order val="0"/>
          <c:tx>
            <c:strRef>
              <c:f>Sheet2!$B$1</c:f>
              <c:strCache>
                <c:ptCount val="1"/>
                <c:pt idx="0">
                  <c:v>Total Revenue</c:v>
                </c:pt>
              </c:strCache>
            </c:strRef>
          </c:tx>
          <c:spPr>
            <a:ln w="28575" cap="rnd">
              <a:solidFill>
                <a:schemeClr val="accent1"/>
              </a:solidFill>
              <a:round/>
            </a:ln>
            <a:effectLst/>
          </c:spPr>
          <c:marker>
            <c:symbol val="none"/>
          </c:marker>
          <c:cat>
            <c:multiLvlStrRef>
              <c:f>Sheet2!$A$2:$A$29</c:f>
              <c:multiLvlStrCache>
                <c:ptCount val="23"/>
                <c:lvl>
                  <c:pt idx="0">
                    <c:v>Jan</c:v>
                  </c:pt>
                  <c:pt idx="1">
                    <c:v>Feb</c:v>
                  </c:pt>
                  <c:pt idx="2">
                    <c:v>Mar</c:v>
                  </c:pt>
                  <c:pt idx="3">
                    <c:v>Apr</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lvl>
                <c:lvl>
                  <c:pt idx="0">
                    <c:v>2022</c:v>
                  </c:pt>
                  <c:pt idx="11">
                    <c:v>2023</c:v>
                  </c:pt>
                </c:lvl>
                <c:lvl>
                  <c:pt idx="0">
                    <c:v>2022</c:v>
                  </c:pt>
                  <c:pt idx="11">
                    <c:v>2023</c:v>
                  </c:pt>
                </c:lvl>
              </c:multiLvlStrCache>
            </c:multiLvlStrRef>
          </c:cat>
          <c:val>
            <c:numRef>
              <c:f>Sheet2!$B$2:$B$29</c:f>
              <c:numCache>
                <c:formatCode>General</c:formatCode>
                <c:ptCount val="23"/>
                <c:pt idx="0">
                  <c:v>2760.77</c:v>
                </c:pt>
                <c:pt idx="1">
                  <c:v>2037.4</c:v>
                </c:pt>
                <c:pt idx="2">
                  <c:v>1985.89</c:v>
                </c:pt>
                <c:pt idx="3">
                  <c:v>1004.15</c:v>
                </c:pt>
                <c:pt idx="4">
                  <c:v>930.45</c:v>
                </c:pt>
                <c:pt idx="5">
                  <c:v>1636.45</c:v>
                </c:pt>
                <c:pt idx="6">
                  <c:v>1741.8600000000001</c:v>
                </c:pt>
                <c:pt idx="7">
                  <c:v>1923.78</c:v>
                </c:pt>
                <c:pt idx="8">
                  <c:v>2980.88</c:v>
                </c:pt>
                <c:pt idx="9">
                  <c:v>3154.21</c:v>
                </c:pt>
                <c:pt idx="10">
                  <c:v>3116.63</c:v>
                </c:pt>
                <c:pt idx="11">
                  <c:v>2778.6000000000004</c:v>
                </c:pt>
                <c:pt idx="12">
                  <c:v>2622.67</c:v>
                </c:pt>
                <c:pt idx="13">
                  <c:v>2658.59</c:v>
                </c:pt>
                <c:pt idx="14">
                  <c:v>2187.7399999999998</c:v>
                </c:pt>
                <c:pt idx="15">
                  <c:v>1932.71</c:v>
                </c:pt>
                <c:pt idx="16">
                  <c:v>2664.54</c:v>
                </c:pt>
                <c:pt idx="17">
                  <c:v>736.38000000000011</c:v>
                </c:pt>
                <c:pt idx="18">
                  <c:v>2222.96</c:v>
                </c:pt>
                <c:pt idx="19">
                  <c:v>2909.52</c:v>
                </c:pt>
                <c:pt idx="20">
                  <c:v>549.14</c:v>
                </c:pt>
                <c:pt idx="21">
                  <c:v>3382.6299999999997</c:v>
                </c:pt>
                <c:pt idx="22">
                  <c:v>1800.32</c:v>
                </c:pt>
              </c:numCache>
            </c:numRef>
          </c:val>
          <c:smooth val="0"/>
        </c:ser>
        <c:ser>
          <c:idx val="1"/>
          <c:order val="1"/>
          <c:tx>
            <c:strRef>
              <c:f>Sheet2!$C$1</c:f>
              <c:strCache>
                <c:ptCount val="1"/>
                <c:pt idx="0">
                  <c:v>% MoM Change.</c:v>
                </c:pt>
              </c:strCache>
            </c:strRef>
          </c:tx>
          <c:spPr>
            <a:ln w="28575" cap="rnd">
              <a:solidFill>
                <a:schemeClr val="accent2"/>
              </a:solidFill>
              <a:round/>
            </a:ln>
            <a:effectLst/>
          </c:spPr>
          <c:marker>
            <c:symbol val="none"/>
          </c:marker>
          <c:cat>
            <c:multiLvlStrRef>
              <c:f>Sheet2!$A$2:$A$29</c:f>
              <c:multiLvlStrCache>
                <c:ptCount val="23"/>
                <c:lvl>
                  <c:pt idx="0">
                    <c:v>Jan</c:v>
                  </c:pt>
                  <c:pt idx="1">
                    <c:v>Feb</c:v>
                  </c:pt>
                  <c:pt idx="2">
                    <c:v>Mar</c:v>
                  </c:pt>
                  <c:pt idx="3">
                    <c:v>Apr</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lvl>
                <c:lvl>
                  <c:pt idx="0">
                    <c:v>2022</c:v>
                  </c:pt>
                  <c:pt idx="11">
                    <c:v>2023</c:v>
                  </c:pt>
                </c:lvl>
                <c:lvl>
                  <c:pt idx="0">
                    <c:v>2022</c:v>
                  </c:pt>
                  <c:pt idx="11">
                    <c:v>2023</c:v>
                  </c:pt>
                </c:lvl>
              </c:multiLvlStrCache>
            </c:multiLvlStrRef>
          </c:cat>
          <c:val>
            <c:numRef>
              <c:f>Sheet2!$C$2:$C$29</c:f>
              <c:numCache>
                <c:formatCode>General</c:formatCode>
                <c:ptCount val="23"/>
                <c:pt idx="0">
                  <c:v>2760.77</c:v>
                </c:pt>
                <c:pt idx="1">
                  <c:v>2037.4</c:v>
                </c:pt>
                <c:pt idx="2">
                  <c:v>1985.89</c:v>
                </c:pt>
                <c:pt idx="3">
                  <c:v>1004.15</c:v>
                </c:pt>
                <c:pt idx="4">
                  <c:v>930.45</c:v>
                </c:pt>
                <c:pt idx="5">
                  <c:v>1636.45</c:v>
                </c:pt>
                <c:pt idx="6">
                  <c:v>1741.8600000000001</c:v>
                </c:pt>
                <c:pt idx="7">
                  <c:v>1923.78</c:v>
                </c:pt>
                <c:pt idx="8">
                  <c:v>2980.88</c:v>
                </c:pt>
                <c:pt idx="9">
                  <c:v>3154.21</c:v>
                </c:pt>
                <c:pt idx="10">
                  <c:v>3116.63</c:v>
                </c:pt>
                <c:pt idx="11">
                  <c:v>2778.6000000000004</c:v>
                </c:pt>
                <c:pt idx="12">
                  <c:v>2622.67</c:v>
                </c:pt>
                <c:pt idx="13">
                  <c:v>2658.59</c:v>
                </c:pt>
                <c:pt idx="14">
                  <c:v>2187.7399999999998</c:v>
                </c:pt>
                <c:pt idx="15">
                  <c:v>1932.71</c:v>
                </c:pt>
                <c:pt idx="16">
                  <c:v>2664.54</c:v>
                </c:pt>
                <c:pt idx="17">
                  <c:v>736.38000000000011</c:v>
                </c:pt>
                <c:pt idx="18">
                  <c:v>2222.96</c:v>
                </c:pt>
                <c:pt idx="19">
                  <c:v>2909.52</c:v>
                </c:pt>
                <c:pt idx="20">
                  <c:v>549.14</c:v>
                </c:pt>
                <c:pt idx="21">
                  <c:v>3382.6299999999997</c:v>
                </c:pt>
                <c:pt idx="22">
                  <c:v>1800.32</c:v>
                </c:pt>
              </c:numCache>
            </c:numRef>
          </c:val>
          <c:smooth val="0"/>
        </c:ser>
        <c:ser>
          <c:idx val="2"/>
          <c:order val="2"/>
          <c:tx>
            <c:strRef>
              <c:f>Sheet2!$D$1</c:f>
              <c:strCache>
                <c:ptCount val="1"/>
                <c:pt idx="0">
                  <c:v>Units Sold</c:v>
                </c:pt>
              </c:strCache>
            </c:strRef>
          </c:tx>
          <c:spPr>
            <a:ln w="28575" cap="rnd">
              <a:solidFill>
                <a:schemeClr val="accent3"/>
              </a:solidFill>
              <a:round/>
            </a:ln>
            <a:effectLst/>
          </c:spPr>
          <c:marker>
            <c:symbol val="none"/>
          </c:marker>
          <c:cat>
            <c:multiLvlStrRef>
              <c:f>Sheet2!$A$2:$A$29</c:f>
              <c:multiLvlStrCache>
                <c:ptCount val="23"/>
                <c:lvl>
                  <c:pt idx="0">
                    <c:v>Jan</c:v>
                  </c:pt>
                  <c:pt idx="1">
                    <c:v>Feb</c:v>
                  </c:pt>
                  <c:pt idx="2">
                    <c:v>Mar</c:v>
                  </c:pt>
                  <c:pt idx="3">
                    <c:v>Apr</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lvl>
                <c:lvl>
                  <c:pt idx="0">
                    <c:v>2022</c:v>
                  </c:pt>
                  <c:pt idx="11">
                    <c:v>2023</c:v>
                  </c:pt>
                </c:lvl>
                <c:lvl>
                  <c:pt idx="0">
                    <c:v>2022</c:v>
                  </c:pt>
                  <c:pt idx="11">
                    <c:v>2023</c:v>
                  </c:pt>
                </c:lvl>
              </c:multiLvlStrCache>
            </c:multiLvlStrRef>
          </c:cat>
          <c:val>
            <c:numRef>
              <c:f>Sheet2!$D$2:$D$29</c:f>
              <c:numCache>
                <c:formatCode>General</c:formatCode>
                <c:ptCount val="23"/>
                <c:pt idx="0">
                  <c:v>39</c:v>
                </c:pt>
                <c:pt idx="1">
                  <c:v>11</c:v>
                </c:pt>
                <c:pt idx="2">
                  <c:v>26</c:v>
                </c:pt>
                <c:pt idx="3">
                  <c:v>12</c:v>
                </c:pt>
                <c:pt idx="4">
                  <c:v>9</c:v>
                </c:pt>
                <c:pt idx="5">
                  <c:v>21</c:v>
                </c:pt>
                <c:pt idx="6">
                  <c:v>26</c:v>
                </c:pt>
                <c:pt idx="7">
                  <c:v>30</c:v>
                </c:pt>
                <c:pt idx="8">
                  <c:v>35</c:v>
                </c:pt>
                <c:pt idx="9">
                  <c:v>26</c:v>
                </c:pt>
                <c:pt idx="10">
                  <c:v>18</c:v>
                </c:pt>
                <c:pt idx="11">
                  <c:v>27</c:v>
                </c:pt>
                <c:pt idx="12">
                  <c:v>15</c:v>
                </c:pt>
                <c:pt idx="13">
                  <c:v>31</c:v>
                </c:pt>
                <c:pt idx="14">
                  <c:v>29</c:v>
                </c:pt>
                <c:pt idx="15">
                  <c:v>15</c:v>
                </c:pt>
                <c:pt idx="16">
                  <c:v>15</c:v>
                </c:pt>
                <c:pt idx="17">
                  <c:v>17</c:v>
                </c:pt>
                <c:pt idx="18">
                  <c:v>34</c:v>
                </c:pt>
                <c:pt idx="19">
                  <c:v>29</c:v>
                </c:pt>
                <c:pt idx="20">
                  <c:v>4</c:v>
                </c:pt>
                <c:pt idx="21">
                  <c:v>36</c:v>
                </c:pt>
                <c:pt idx="22">
                  <c:v>21</c:v>
                </c:pt>
              </c:numCache>
            </c:numRef>
          </c:val>
          <c:smooth val="0"/>
        </c:ser>
        <c:dLbls>
          <c:showLegendKey val="0"/>
          <c:showVal val="0"/>
          <c:showCatName val="0"/>
          <c:showSerName val="0"/>
          <c:showPercent val="0"/>
          <c:showBubbleSize val="0"/>
        </c:dLbls>
        <c:smooth val="0"/>
        <c:axId val="-1501227600"/>
        <c:axId val="-1501229232"/>
      </c:lineChart>
      <c:catAx>
        <c:axId val="-150122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229232"/>
        <c:crosses val="autoZero"/>
        <c:auto val="1"/>
        <c:lblAlgn val="ctr"/>
        <c:lblOffset val="100"/>
        <c:noMultiLvlLbl val="0"/>
      </c:catAx>
      <c:valAx>
        <c:axId val="-150122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2276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542925</xdr:colOff>
      <xdr:row>2</xdr:row>
      <xdr:rowOff>19050</xdr:rowOff>
    </xdr:from>
    <xdr:to>
      <xdr:col>8</xdr:col>
      <xdr:colOff>171450</xdr:colOff>
      <xdr:row>16</xdr:row>
      <xdr:rowOff>95250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390525</xdr:colOff>
      <xdr:row>2</xdr:row>
      <xdr:rowOff>71438</xdr:rowOff>
    </xdr:from>
    <xdr:to>
      <xdr:col>11</xdr:col>
      <xdr:colOff>390525</xdr:colOff>
      <xdr:row>15</xdr:row>
      <xdr:rowOff>119063</xdr:rowOff>
    </xdr:to>
    <mc:AlternateContent xmlns:mc="http://schemas.openxmlformats.org/markup-compatibility/2006">
      <mc:Choice xmlns:a14="http://schemas.microsoft.com/office/drawing/2010/main"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267325" y="45243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476250</xdr:colOff>
      <xdr:row>2</xdr:row>
      <xdr:rowOff>114300</xdr:rowOff>
    </xdr:from>
    <xdr:to>
      <xdr:col>14</xdr:col>
      <xdr:colOff>476250</xdr:colOff>
      <xdr:row>15</xdr:row>
      <xdr:rowOff>161925</xdr:rowOff>
    </xdr:to>
    <mc:AlternateContent xmlns:mc="http://schemas.openxmlformats.org/markup-compatibility/2006">
      <mc:Choice xmlns:a14="http://schemas.microsoft.com/office/drawing/2010/main"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181850" y="495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059.640217824075" createdVersion="5" refreshedVersion="5" minRefreshableVersion="3" recordCount="500">
  <cacheSource type="worksheet">
    <worksheetSource name="SalesData"/>
  </cacheSource>
  <cacheFields count="10">
    <cacheField name="Order ID" numFmtId="0">
      <sharedItems/>
    </cacheField>
    <cacheField name="Order Date" numFmtId="14">
      <sharedItems containsSemiMixedTypes="0" containsNonDate="0" containsDate="1" containsString="0" minDate="2022-01-02T00:00:00" maxDate="2024-01-02T00:00:00" count="356">
        <d v="2023-03-01T00:00:00"/>
        <d v="2022-09-07T00:00:00"/>
        <d v="2023-04-28T00:00:00"/>
        <d v="2023-10-27T00:00:00"/>
        <d v="2022-12-22T00:00:00"/>
        <d v="2022-02-02T00:00:00"/>
        <d v="2023-12-13T00:00:00"/>
        <d v="2022-01-02T00:00:00"/>
        <d v="2023-04-01T00:00:00"/>
        <d v="2023-04-03T00:00:00"/>
        <d v="2022-02-10T00:00:00"/>
        <d v="2022-08-27T00:00:00"/>
        <d v="2023-08-20T00:00:00"/>
        <d v="2023-11-05T00:00:00"/>
        <d v="2022-08-29T00:00:00"/>
        <d v="2023-08-30T00:00:00"/>
        <d v="2022-09-15T00:00:00"/>
        <d v="2023-10-05T00:00:00"/>
        <d v="2022-11-09T00:00:00"/>
        <d v="2023-05-31T00:00:00"/>
        <d v="2023-12-25T00:00:00"/>
        <d v="2022-04-24T00:00:00"/>
        <d v="2022-04-01T00:00:00"/>
        <d v="2023-03-19T00:00:00"/>
        <d v="2023-03-28T00:00:00"/>
        <d v="2023-09-17T00:00:00"/>
        <d v="2022-12-30T00:00:00"/>
        <d v="2023-11-12T00:00:00"/>
        <d v="2022-08-17T00:00:00"/>
        <d v="2023-12-02T00:00:00"/>
        <d v="2022-10-22T00:00:00"/>
        <d v="2022-01-31T00:00:00"/>
        <d v="2023-11-26T00:00:00"/>
        <d v="2022-10-11T00:00:00"/>
        <d v="2022-12-05T00:00:00"/>
        <d v="2023-08-15T00:00:00"/>
        <d v="2022-11-21T00:00:00"/>
        <d v="2022-09-20T00:00:00"/>
        <d v="2023-02-22T00:00:00"/>
        <d v="2022-04-18T00:00:00"/>
        <d v="2022-06-09T00:00:00"/>
        <d v="2023-02-25T00:00:00"/>
        <d v="2023-09-16T00:00:00"/>
        <d v="2023-08-10T00:00:00"/>
        <d v="2023-08-23T00:00:00"/>
        <d v="2023-09-02T00:00:00"/>
        <d v="2022-11-24T00:00:00"/>
        <d v="2022-09-17T00:00:00"/>
        <d v="2022-04-03T00:00:00"/>
        <d v="2023-02-15T00:00:00"/>
        <d v="2022-07-23T00:00:00"/>
        <d v="2023-05-20T00:00:00"/>
        <d v="2022-06-05T00:00:00"/>
        <d v="2023-10-31T00:00:00"/>
        <d v="2023-04-11T00:00:00"/>
        <d v="2023-08-21T00:00:00"/>
        <d v="2023-10-16T00:00:00"/>
        <d v="2022-08-20T00:00:00"/>
        <d v="2022-11-25T00:00:00"/>
        <d v="2022-04-23T00:00:00"/>
        <d v="2023-03-20T00:00:00"/>
        <d v="2023-05-08T00:00:00"/>
        <d v="2023-08-29T00:00:00"/>
        <d v="2023-04-21T00:00:00"/>
        <d v="2023-10-21T00:00:00"/>
        <d v="2023-06-24T00:00:00"/>
        <d v="2022-04-05T00:00:00"/>
        <d v="2022-05-07T00:00:00"/>
        <d v="2022-05-22T00:00:00"/>
        <d v="2023-08-31T00:00:00"/>
        <d v="2023-11-24T00:00:00"/>
        <d v="2022-06-29T00:00:00"/>
        <d v="2023-03-09T00:00:00"/>
        <d v="2022-06-30T00:00:00"/>
        <d v="2023-02-27T00:00:00"/>
        <d v="2022-12-18T00:00:00"/>
        <d v="2023-11-25T00:00:00"/>
        <d v="2022-03-12T00:00:00"/>
        <d v="2022-07-21T00:00:00"/>
        <d v="2023-06-30T00:00:00"/>
        <d v="2022-12-11T00:00:00"/>
        <d v="2023-10-14T00:00:00"/>
        <d v="2022-03-04T00:00:00"/>
        <d v="2023-03-06T00:00:00"/>
        <d v="2023-02-11T00:00:00"/>
        <d v="2022-02-24T00:00:00"/>
        <d v="2022-09-23T00:00:00"/>
        <d v="2023-01-31T00:00:00"/>
        <d v="2022-01-21T00:00:00"/>
        <d v="2022-04-09T00:00:00"/>
        <d v="2022-05-16T00:00:00"/>
        <d v="2022-11-01T00:00:00"/>
        <d v="2023-09-19T00:00:00"/>
        <d v="2023-12-23T00:00:00"/>
        <d v="2022-11-30T00:00:00"/>
        <d v="2023-12-15T00:00:00"/>
        <d v="2023-07-08T00:00:00"/>
        <d v="2023-09-15T00:00:00"/>
        <d v="2022-05-24T00:00:00"/>
        <d v="2023-03-05T00:00:00"/>
        <d v="2022-04-30T00:00:00"/>
        <d v="2023-04-07T00:00:00"/>
        <d v="2023-04-09T00:00:00"/>
        <d v="2023-07-27T00:00:00"/>
        <d v="2022-02-07T00:00:00"/>
        <d v="2023-12-09T00:00:00"/>
        <d v="2023-06-15T00:00:00"/>
        <d v="2022-03-10T00:00:00"/>
        <d v="2022-12-20T00:00:00"/>
        <d v="2023-12-20T00:00:00"/>
        <d v="2023-01-15T00:00:00"/>
        <d v="2022-04-20T00:00:00"/>
        <d v="2023-09-08T00:00:00"/>
        <d v="2023-07-31T00:00:00"/>
        <d v="2023-02-07T00:00:00"/>
        <d v="2022-03-20T00:00:00"/>
        <d v="2022-08-30T00:00:00"/>
        <d v="2022-01-19T00:00:00"/>
        <d v="2023-07-01T00:00:00"/>
        <d v="2023-04-06T00:00:00"/>
        <d v="2023-02-14T00:00:00"/>
        <d v="2022-10-15T00:00:00"/>
        <d v="2023-06-06T00:00:00"/>
        <d v="2022-11-23T00:00:00"/>
        <d v="2023-12-24T00:00:00"/>
        <d v="2022-12-06T00:00:00"/>
        <d v="2022-10-05T00:00:00"/>
        <d v="2022-01-07T00:00:00"/>
        <d v="2022-10-26T00:00:00"/>
        <d v="2022-08-24T00:00:00"/>
        <d v="2023-05-25T00:00:00"/>
        <d v="2022-08-26T00:00:00"/>
        <d v="2023-01-20T00:00:00"/>
        <d v="2022-10-08T00:00:00"/>
        <d v="2023-06-16T00:00:00"/>
        <d v="2023-07-10T00:00:00"/>
        <d v="2022-02-11T00:00:00"/>
        <d v="2022-03-02T00:00:00"/>
        <d v="2023-04-10T00:00:00"/>
        <d v="2023-12-08T00:00:00"/>
        <d v="2023-02-28T00:00:00"/>
        <d v="2023-01-18T00:00:00"/>
        <d v="2022-01-16T00:00:00"/>
        <d v="2023-01-07T00:00:00"/>
        <d v="2022-08-03T00:00:00"/>
        <d v="2022-05-20T00:00:00"/>
        <d v="2023-05-12T00:00:00"/>
        <d v="2022-04-11T00:00:00"/>
        <d v="2023-07-13T00:00:00"/>
        <d v="2023-08-19T00:00:00"/>
        <d v="2023-10-04T00:00:00"/>
        <d v="2022-12-09T00:00:00"/>
        <d v="2023-03-24T00:00:00"/>
        <d v="2022-07-31T00:00:00"/>
        <d v="2023-02-21T00:00:00"/>
        <d v="2022-04-02T00:00:00"/>
        <d v="2023-03-23T00:00:00"/>
        <d v="2022-05-12T00:00:00"/>
        <d v="2023-01-10T00:00:00"/>
        <d v="2023-09-14T00:00:00"/>
        <d v="2022-10-01T00:00:00"/>
        <d v="2023-03-13T00:00:00"/>
        <d v="2022-01-28T00:00:00"/>
        <d v="2022-07-29T00:00:00"/>
        <d v="2023-06-19T00:00:00"/>
        <d v="2023-05-18T00:00:00"/>
        <d v="2023-07-25T00:00:00"/>
        <d v="2022-06-17T00:00:00"/>
        <d v="2022-08-08T00:00:00"/>
        <d v="2023-04-29T00:00:00"/>
        <d v="2023-08-02T00:00:00"/>
        <d v="2022-02-03T00:00:00"/>
        <d v="2023-09-26T00:00:00"/>
        <d v="2023-12-17T00:00:00"/>
        <d v="2023-09-29T00:00:00"/>
        <d v="2023-05-15T00:00:00"/>
        <d v="2022-09-19T00:00:00"/>
        <d v="2023-06-01T00:00:00"/>
        <d v="2022-01-26T00:00:00"/>
        <d v="2023-06-18T00:00:00"/>
        <d v="2022-02-13T00:00:00"/>
        <d v="2023-10-07T00:00:00"/>
        <d v="2022-10-03T00:00:00"/>
        <d v="2022-02-22T00:00:00"/>
        <d v="2023-07-04T00:00:00"/>
        <d v="2022-09-25T00:00:00"/>
        <d v="2022-12-26T00:00:00"/>
        <d v="2022-09-27T00:00:00"/>
        <d v="2022-02-20T00:00:00"/>
        <d v="2023-09-13T00:00:00"/>
        <d v="2022-10-30T00:00:00"/>
        <d v="2022-09-18T00:00:00"/>
        <d v="2023-06-21T00:00:00"/>
        <d v="2023-12-27T00:00:00"/>
        <d v="2022-09-09T00:00:00"/>
        <d v="2022-01-17T00:00:00"/>
        <d v="2023-07-22T00:00:00"/>
        <d v="2022-09-22T00:00:00"/>
        <d v="2022-09-29T00:00:00"/>
        <d v="2022-07-25T00:00:00"/>
        <d v="2022-01-27T00:00:00"/>
        <d v="2023-12-21T00:00:00"/>
        <d v="2022-09-05T00:00:00"/>
        <d v="2023-12-11T00:00:00"/>
        <d v="2023-02-04T00:00:00"/>
        <d v="2023-11-03T00:00:00"/>
        <d v="2023-03-15T00:00:00"/>
        <d v="2023-02-09T00:00:00"/>
        <d v="2022-05-08T00:00:00"/>
        <d v="2022-05-19T00:00:00"/>
        <d v="2022-12-24T00:00:00"/>
        <d v="2023-06-17T00:00:00"/>
        <d v="2023-07-09T00:00:00"/>
        <d v="2023-08-03T00:00:00"/>
        <d v="2023-12-30T00:00:00"/>
        <d v="2022-07-03T00:00:00"/>
        <d v="2023-08-24T00:00:00"/>
        <d v="2023-10-10T00:00:00"/>
        <d v="2023-09-30T00:00:00"/>
        <d v="2023-06-29T00:00:00"/>
        <d v="2023-11-08T00:00:00"/>
        <d v="2023-06-28T00:00:00"/>
        <d v="2023-03-02T00:00:00"/>
        <d v="2022-08-19T00:00:00"/>
        <d v="2023-09-11T00:00:00"/>
        <d v="2023-06-13T00:00:00"/>
        <d v="2022-05-15T00:00:00"/>
        <d v="2022-08-05T00:00:00"/>
        <d v="2023-06-07T00:00:00"/>
        <d v="2023-01-17T00:00:00"/>
        <d v="2023-11-27T00:00:00"/>
        <d v="2023-07-30T00:00:00"/>
        <d v="2023-01-23T00:00:00"/>
        <d v="2022-12-28T00:00:00"/>
        <d v="2024-01-01T00:00:00"/>
        <d v="2022-08-12T00:00:00"/>
        <d v="2022-07-12T00:00:00"/>
        <d v="2022-04-07T00:00:00"/>
        <d v="2022-12-04T00:00:00"/>
        <d v="2022-12-03T00:00:00"/>
        <d v="2023-01-24T00:00:00"/>
        <d v="2023-03-30T00:00:00"/>
        <d v="2022-11-27T00:00:00"/>
        <d v="2022-09-21T00:00:00"/>
        <d v="2022-09-12T00:00:00"/>
        <d v="2023-10-25T00:00:00"/>
        <d v="2022-03-24T00:00:00"/>
        <d v="2023-04-15T00:00:00"/>
        <d v="2022-03-16T00:00:00"/>
        <d v="2022-08-11T00:00:00"/>
        <d v="2022-03-23T00:00:00"/>
        <d v="2022-11-05T00:00:00"/>
        <d v="2022-05-28T00:00:00"/>
        <d v="2022-06-21T00:00:00"/>
        <d v="2023-11-28T00:00:00"/>
        <d v="2023-06-20T00:00:00"/>
        <d v="2022-10-24T00:00:00"/>
        <d v="2023-04-18T00:00:00"/>
        <d v="2022-03-03T00:00:00"/>
        <d v="2023-07-24T00:00:00"/>
        <d v="2023-02-18T00:00:00"/>
        <d v="2022-06-16T00:00:00"/>
        <d v="2022-01-20T00:00:00"/>
        <d v="2022-09-04T00:00:00"/>
        <d v="2022-11-19T00:00:00"/>
        <d v="2023-02-26T00:00:00"/>
        <d v="2022-09-01T00:00:00"/>
        <d v="2023-03-14T00:00:00"/>
        <d v="2022-03-22T00:00:00"/>
        <d v="2023-09-23T00:00:00"/>
        <d v="2023-05-26T00:00:00"/>
        <d v="2022-05-09T00:00:00"/>
        <d v="2023-05-07T00:00:00"/>
        <d v="2023-09-25T00:00:00"/>
        <d v="2023-01-12T00:00:00"/>
        <d v="2022-12-16T00:00:00"/>
        <d v="2022-11-16T00:00:00"/>
        <d v="2023-12-29T00:00:00"/>
        <d v="2023-01-19T00:00:00"/>
        <d v="2023-03-18T00:00:00"/>
        <d v="2022-06-26T00:00:00"/>
        <d v="2023-11-23T00:00:00"/>
        <d v="2022-10-25T00:00:00"/>
        <d v="2023-06-09T00:00:00"/>
        <d v="2022-06-02T00:00:00"/>
        <d v="2022-01-09T00:00:00"/>
        <d v="2023-02-23T00:00:00"/>
        <d v="2023-11-11T00:00:00"/>
        <d v="2022-07-02T00:00:00"/>
        <d v="2023-11-01T00:00:00"/>
        <d v="2023-10-06T00:00:00"/>
        <d v="2022-02-18T00:00:00"/>
        <d v="2022-08-04T00:00:00"/>
        <d v="2023-04-22T00:00:00"/>
        <d v="2023-08-13T00:00:00"/>
        <d v="2023-05-03T00:00:00"/>
        <d v="2022-03-07T00:00:00"/>
        <d v="2023-11-13T00:00:00"/>
        <d v="2023-02-16T00:00:00"/>
        <d v="2022-03-19T00:00:00"/>
        <d v="2023-06-05T00:00:00"/>
        <d v="2022-12-12T00:00:00"/>
        <d v="2022-08-14T00:00:00"/>
        <d v="2022-04-12T00:00:00"/>
        <d v="2023-03-17T00:00:00"/>
        <d v="2022-10-17T00:00:00"/>
        <d v="2023-04-16T00:00:00"/>
        <d v="2022-11-29T00:00:00"/>
        <d v="2023-02-17T00:00:00"/>
        <d v="2023-06-04T00:00:00"/>
        <d v="2023-12-12T00:00:00"/>
        <d v="2022-02-23T00:00:00"/>
        <d v="2023-05-30T00:00:00"/>
        <d v="2022-03-26T00:00:00"/>
        <d v="2023-10-29T00:00:00"/>
        <d v="2022-10-06T00:00:00"/>
        <d v="2022-10-21T00:00:00"/>
        <d v="2022-02-09T00:00:00"/>
        <d v="2023-09-10T00:00:00"/>
        <d v="2022-02-06T00:00:00"/>
        <d v="2023-08-05T00:00:00"/>
        <d v="2023-10-11T00:00:00"/>
        <d v="2023-11-07T00:00:00"/>
        <d v="2022-12-15T00:00:00"/>
        <d v="2023-07-16T00:00:00"/>
        <d v="2022-11-04T00:00:00"/>
        <d v="2023-07-15T00:00:00"/>
        <d v="2023-01-26T00:00:00"/>
        <d v="2022-01-25T00:00:00"/>
        <d v="2023-07-26T00:00:00"/>
        <d v="2023-04-13T00:00:00"/>
        <d v="2023-01-13T00:00:00"/>
        <d v="2022-10-07T00:00:00"/>
        <d v="2023-06-12T00:00:00"/>
        <d v="2022-01-23T00:00:00"/>
        <d v="2022-04-16T00:00:00"/>
        <d v="2023-12-10T00:00:00"/>
        <d v="2022-04-04T00:00:00"/>
        <d v="2022-01-15T00:00:00"/>
        <d v="2022-04-27T00:00:00"/>
        <d v="2023-04-12T00:00:00"/>
        <d v="2022-09-28T00:00:00"/>
        <d v="2022-12-14T00:00:00"/>
        <d v="2023-08-28T00:00:00"/>
        <d v="2023-10-03T00:00:00"/>
        <d v="2023-12-05T00:00:00"/>
        <d v="2022-07-01T00:00:00"/>
        <d v="2023-07-17T00:00:00"/>
        <d v="2022-09-10T00:00:00"/>
        <d v="2023-11-15T00:00:00"/>
        <d v="2022-05-25T00:00:00"/>
        <d v="2023-07-11T00:00:00"/>
        <d v="2023-04-02T00:00:00"/>
        <d v="2023-04-27T00:00:00"/>
        <d v="2022-08-13T00:00:00"/>
        <d v="2022-10-27T00:00:00"/>
      </sharedItems>
      <fieldGroup par="9" base="1">
        <rangePr groupBy="months" startDate="2022-01-02T00:00:00" endDate="2024-01-02T00:00:00"/>
        <groupItems count="14">
          <s v="&lt;1/2/2022"/>
          <s v="Jan"/>
          <s v="Feb"/>
          <s v="Mar"/>
          <s v="Apr"/>
          <s v="May"/>
          <s v="Jun"/>
          <s v="Jul"/>
          <s v="Aug"/>
          <s v="Sep"/>
          <s v="Oct"/>
          <s v="Nov"/>
          <s v="Dec"/>
          <s v="&gt;1/2/2024"/>
        </groupItems>
      </fieldGroup>
    </cacheField>
    <cacheField name="Region" numFmtId="0">
      <sharedItems count="4">
        <s v="East"/>
        <s v="West"/>
        <s v="Central"/>
        <s v="South"/>
      </sharedItems>
    </cacheField>
    <cacheField name="Category" numFmtId="0">
      <sharedItems count="3">
        <s v="Technology"/>
        <s v="Furniture"/>
        <s v="Office Supplies"/>
      </sharedItems>
    </cacheField>
    <cacheField name="Sub-Category" numFmtId="0">
      <sharedItems/>
    </cacheField>
    <cacheField name="Sales" numFmtId="0">
      <sharedItems containsSemiMixedTypes="0" containsString="0" containsNumber="1" minValue="24.77" maxValue="996.29"/>
    </cacheField>
    <cacheField name="Quantity" numFmtId="0">
      <sharedItems containsSemiMixedTypes="0" containsString="0" containsNumber="1" containsInteger="1" minValue="1" maxValue="10"/>
    </cacheField>
    <cacheField name="Profit" numFmtId="0">
      <sharedItems containsSemiMixedTypes="0" containsString="0" containsNumber="1" minValue="-199.08" maxValue="298.39999999999998"/>
    </cacheField>
    <cacheField name="Year" numFmtId="0">
      <sharedItems containsSemiMixedTypes="0" containsString="0" containsNumber="1" containsInteger="1" minValue="2022" maxValue="2024" count="3">
        <n v="2023"/>
        <n v="2022"/>
        <n v="2024"/>
      </sharedItems>
    </cacheField>
    <cacheField name="Years" numFmtId="0" databaseField="0">
      <fieldGroup base="1">
        <rangePr groupBy="years" startDate="2022-01-02T00:00:00" endDate="2024-01-02T00:00:00"/>
        <groupItems count="5">
          <s v="&lt;1/2/2022"/>
          <s v="2022"/>
          <s v="2023"/>
          <s v="2024"/>
          <s v="&gt;1/2/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s v="ORD-1001"/>
    <x v="0"/>
    <x v="0"/>
    <x v="0"/>
    <s v="Machines"/>
    <n v="643.02"/>
    <n v="9"/>
    <n v="223.56"/>
    <x v="0"/>
  </r>
  <r>
    <s v="ORD-1002"/>
    <x v="1"/>
    <x v="1"/>
    <x v="0"/>
    <s v="Phones"/>
    <n v="386.85"/>
    <n v="7"/>
    <n v="118.74"/>
    <x v="1"/>
  </r>
  <r>
    <s v="ORD-1003"/>
    <x v="2"/>
    <x v="2"/>
    <x v="1"/>
    <s v="Tables"/>
    <n v="218.55"/>
    <n v="2"/>
    <n v="91.17"/>
    <x v="0"/>
  </r>
  <r>
    <s v="ORD-1004"/>
    <x v="3"/>
    <x v="3"/>
    <x v="0"/>
    <s v="Phones"/>
    <n v="709.56"/>
    <n v="3"/>
    <n v="260.27999999999997"/>
    <x v="0"/>
  </r>
  <r>
    <s v="ORD-1005"/>
    <x v="4"/>
    <x v="3"/>
    <x v="1"/>
    <s v="Tables"/>
    <n v="672.67"/>
    <n v="5"/>
    <n v="-152.19999999999999"/>
    <x v="1"/>
  </r>
  <r>
    <s v="ORD-1006"/>
    <x v="5"/>
    <x v="3"/>
    <x v="1"/>
    <s v="Tables"/>
    <n v="118.68"/>
    <n v="9"/>
    <n v="-21.19"/>
    <x v="1"/>
  </r>
  <r>
    <s v="ORD-1007"/>
    <x v="6"/>
    <x v="2"/>
    <x v="0"/>
    <s v="Accessories"/>
    <n v="133.13"/>
    <n v="3"/>
    <n v="36.24"/>
    <x v="0"/>
  </r>
  <r>
    <s v="ORD-1008"/>
    <x v="7"/>
    <x v="2"/>
    <x v="1"/>
    <s v="Tables"/>
    <n v="24.77"/>
    <n v="9"/>
    <n v="-79.08"/>
    <x v="1"/>
  </r>
  <r>
    <s v="ORD-1009"/>
    <x v="8"/>
    <x v="1"/>
    <x v="1"/>
    <s v="Bookcases"/>
    <n v="495.61"/>
    <n v="8"/>
    <n v="-22.51"/>
    <x v="0"/>
  </r>
  <r>
    <s v="ORD-1010"/>
    <x v="9"/>
    <x v="2"/>
    <x v="2"/>
    <s v="Binders"/>
    <n v="765.25"/>
    <n v="7"/>
    <n v="-53.36"/>
    <x v="0"/>
  </r>
  <r>
    <s v="ORD-1011"/>
    <x v="10"/>
    <x v="1"/>
    <x v="1"/>
    <s v="Tables"/>
    <n v="822.19"/>
    <n v="2"/>
    <n v="255.85"/>
    <x v="1"/>
  </r>
  <r>
    <s v="ORD-1012"/>
    <x v="11"/>
    <x v="1"/>
    <x v="0"/>
    <s v="Phones"/>
    <n v="984.42"/>
    <n v="1"/>
    <n v="-105.89"/>
    <x v="1"/>
  </r>
  <r>
    <s v="ORD-1013"/>
    <x v="12"/>
    <x v="1"/>
    <x v="0"/>
    <s v="Phones"/>
    <n v="593.89"/>
    <n v="7"/>
    <n v="198.8"/>
    <x v="0"/>
  </r>
  <r>
    <s v="ORD-1014"/>
    <x v="13"/>
    <x v="3"/>
    <x v="0"/>
    <s v="Accessories"/>
    <n v="914.8"/>
    <n v="1"/>
    <n v="97.96"/>
    <x v="0"/>
  </r>
  <r>
    <s v="ORD-1015"/>
    <x v="14"/>
    <x v="0"/>
    <x v="0"/>
    <s v="Accessories"/>
    <n v="550.09"/>
    <n v="7"/>
    <n v="208.93"/>
    <x v="1"/>
  </r>
  <r>
    <s v="ORD-1016"/>
    <x v="15"/>
    <x v="1"/>
    <x v="0"/>
    <s v="Phones"/>
    <n v="145.03"/>
    <n v="10"/>
    <n v="1.34"/>
    <x v="0"/>
  </r>
  <r>
    <s v="ORD-1017"/>
    <x v="16"/>
    <x v="3"/>
    <x v="0"/>
    <s v="Machines"/>
    <n v="931.32"/>
    <n v="8"/>
    <n v="159.86000000000001"/>
    <x v="1"/>
  </r>
  <r>
    <s v="ORD-1018"/>
    <x v="17"/>
    <x v="2"/>
    <x v="1"/>
    <s v="Tables"/>
    <n v="527.98"/>
    <n v="4"/>
    <n v="32.619999999999997"/>
    <x v="0"/>
  </r>
  <r>
    <s v="ORD-1019"/>
    <x v="18"/>
    <x v="3"/>
    <x v="2"/>
    <s v="Paper"/>
    <n v="667.99"/>
    <n v="8"/>
    <n v="178.49"/>
    <x v="1"/>
  </r>
  <r>
    <s v="ORD-1020"/>
    <x v="19"/>
    <x v="3"/>
    <x v="0"/>
    <s v="Accessories"/>
    <n v="687.96"/>
    <n v="9"/>
    <n v="295.75"/>
    <x v="0"/>
  </r>
  <r>
    <s v="ORD-1021"/>
    <x v="20"/>
    <x v="1"/>
    <x v="0"/>
    <s v="Phones"/>
    <n v="319.39999999999998"/>
    <n v="5"/>
    <n v="-105.03"/>
    <x v="0"/>
  </r>
  <r>
    <s v="ORD-1022"/>
    <x v="21"/>
    <x v="2"/>
    <x v="2"/>
    <s v="Binders"/>
    <n v="173.8"/>
    <n v="1"/>
    <n v="-97.48"/>
    <x v="1"/>
  </r>
  <r>
    <s v="ORD-1023"/>
    <x v="22"/>
    <x v="2"/>
    <x v="0"/>
    <s v="Phones"/>
    <n v="90.17"/>
    <n v="6"/>
    <n v="-105.97"/>
    <x v="1"/>
  </r>
  <r>
    <s v="ORD-1024"/>
    <x v="23"/>
    <x v="1"/>
    <x v="0"/>
    <s v="Accessories"/>
    <n v="263.39"/>
    <n v="3"/>
    <n v="11.27"/>
    <x v="0"/>
  </r>
  <r>
    <s v="ORD-1025"/>
    <x v="24"/>
    <x v="0"/>
    <x v="1"/>
    <s v="Bookcases"/>
    <n v="512.76"/>
    <n v="9"/>
    <n v="-189.66"/>
    <x v="0"/>
  </r>
  <r>
    <s v="ORD-1026"/>
    <x v="25"/>
    <x v="0"/>
    <x v="0"/>
    <s v="Phones"/>
    <n v="892.33"/>
    <n v="9"/>
    <n v="-113.24"/>
    <x v="0"/>
  </r>
  <r>
    <s v="ORD-1027"/>
    <x v="26"/>
    <x v="0"/>
    <x v="2"/>
    <s v="Binders"/>
    <n v="587.17999999999995"/>
    <n v="4"/>
    <n v="-190.2"/>
    <x v="1"/>
  </r>
  <r>
    <s v="ORD-1028"/>
    <x v="27"/>
    <x v="1"/>
    <x v="2"/>
    <s v="Storage"/>
    <n v="219.11"/>
    <n v="1"/>
    <n v="-198.48"/>
    <x v="0"/>
  </r>
  <r>
    <s v="ORD-1029"/>
    <x v="28"/>
    <x v="0"/>
    <x v="0"/>
    <s v="Phones"/>
    <n v="94.31"/>
    <n v="4"/>
    <n v="178.07"/>
    <x v="1"/>
  </r>
  <r>
    <s v="ORD-1030"/>
    <x v="29"/>
    <x v="1"/>
    <x v="0"/>
    <s v="Machines"/>
    <n v="301.98"/>
    <n v="1"/>
    <n v="-112.6"/>
    <x v="0"/>
  </r>
  <r>
    <s v="ORD-1031"/>
    <x v="30"/>
    <x v="0"/>
    <x v="1"/>
    <s v="Tables"/>
    <n v="74.94"/>
    <n v="9"/>
    <n v="-39.590000000000003"/>
    <x v="1"/>
  </r>
  <r>
    <s v="ORD-1032"/>
    <x v="31"/>
    <x v="3"/>
    <x v="1"/>
    <s v="Bookcases"/>
    <n v="975.13"/>
    <n v="5"/>
    <n v="246.11"/>
    <x v="1"/>
  </r>
  <r>
    <s v="ORD-1033"/>
    <x v="32"/>
    <x v="3"/>
    <x v="0"/>
    <s v="Phones"/>
    <n v="205.35"/>
    <n v="2"/>
    <n v="-48.5"/>
    <x v="0"/>
  </r>
  <r>
    <s v="ORD-1034"/>
    <x v="33"/>
    <x v="0"/>
    <x v="2"/>
    <s v="Binders"/>
    <n v="751.66"/>
    <n v="9"/>
    <n v="110.15"/>
    <x v="1"/>
  </r>
  <r>
    <s v="ORD-1035"/>
    <x v="34"/>
    <x v="0"/>
    <x v="2"/>
    <s v="Paper"/>
    <n v="516.66999999999996"/>
    <n v="6"/>
    <n v="224.95"/>
    <x v="1"/>
  </r>
  <r>
    <s v="ORD-1036"/>
    <x v="9"/>
    <x v="2"/>
    <x v="1"/>
    <s v="Bookcases"/>
    <n v="475.69"/>
    <n v="9"/>
    <n v="-193.87"/>
    <x v="0"/>
  </r>
  <r>
    <s v="ORD-1037"/>
    <x v="35"/>
    <x v="0"/>
    <x v="0"/>
    <s v="Machines"/>
    <n v="759.64"/>
    <n v="8"/>
    <n v="233.49"/>
    <x v="0"/>
  </r>
  <r>
    <s v="ORD-1038"/>
    <x v="36"/>
    <x v="2"/>
    <x v="0"/>
    <s v="Machines"/>
    <n v="439.35"/>
    <n v="5"/>
    <n v="103.5"/>
    <x v="1"/>
  </r>
  <r>
    <s v="ORD-1039"/>
    <x v="37"/>
    <x v="2"/>
    <x v="1"/>
    <s v="Chairs"/>
    <n v="725.42"/>
    <n v="7"/>
    <n v="-16.8"/>
    <x v="1"/>
  </r>
  <r>
    <s v="ORD-1040"/>
    <x v="38"/>
    <x v="3"/>
    <x v="2"/>
    <s v="Storage"/>
    <n v="434.53"/>
    <n v="9"/>
    <n v="-106.42"/>
    <x v="0"/>
  </r>
  <r>
    <s v="ORD-1041"/>
    <x v="39"/>
    <x v="3"/>
    <x v="2"/>
    <s v="Paper"/>
    <n v="909.99"/>
    <n v="1"/>
    <n v="295.94"/>
    <x v="1"/>
  </r>
  <r>
    <s v="ORD-1042"/>
    <x v="40"/>
    <x v="1"/>
    <x v="2"/>
    <s v="Paper"/>
    <n v="385.07"/>
    <n v="7"/>
    <n v="266.39999999999998"/>
    <x v="1"/>
  </r>
  <r>
    <s v="ORD-1043"/>
    <x v="41"/>
    <x v="2"/>
    <x v="0"/>
    <s v="Phones"/>
    <n v="536.38"/>
    <n v="4"/>
    <n v="-127.66"/>
    <x v="0"/>
  </r>
  <r>
    <s v="ORD-1044"/>
    <x v="42"/>
    <x v="2"/>
    <x v="1"/>
    <s v="Bookcases"/>
    <n v="106.22"/>
    <n v="5"/>
    <n v="120.63"/>
    <x v="0"/>
  </r>
  <r>
    <s v="ORD-1045"/>
    <x v="43"/>
    <x v="1"/>
    <x v="2"/>
    <s v="Binders"/>
    <n v="369.6"/>
    <n v="6"/>
    <n v="107.21"/>
    <x v="0"/>
  </r>
  <r>
    <s v="ORD-1046"/>
    <x v="44"/>
    <x v="1"/>
    <x v="2"/>
    <s v="Paper"/>
    <n v="271.88"/>
    <n v="1"/>
    <n v="12.29"/>
    <x v="0"/>
  </r>
  <r>
    <s v="ORD-1047"/>
    <x v="45"/>
    <x v="0"/>
    <x v="2"/>
    <s v="Paper"/>
    <n v="844.72"/>
    <n v="6"/>
    <n v="53.09"/>
    <x v="0"/>
  </r>
  <r>
    <s v="ORD-1048"/>
    <x v="46"/>
    <x v="1"/>
    <x v="2"/>
    <s v="Paper"/>
    <n v="488.17"/>
    <n v="2"/>
    <n v="98.87"/>
    <x v="1"/>
  </r>
  <r>
    <s v="ORD-1049"/>
    <x v="47"/>
    <x v="1"/>
    <x v="0"/>
    <s v="Machines"/>
    <n v="346.41"/>
    <n v="5"/>
    <n v="193.92"/>
    <x v="1"/>
  </r>
  <r>
    <s v="ORD-1050"/>
    <x v="8"/>
    <x v="0"/>
    <x v="2"/>
    <s v="Paper"/>
    <n v="551.75"/>
    <n v="9"/>
    <n v="-41.06"/>
    <x v="0"/>
  </r>
  <r>
    <s v="ORD-1051"/>
    <x v="48"/>
    <x v="3"/>
    <x v="1"/>
    <s v="Bookcases"/>
    <n v="274.86"/>
    <n v="1"/>
    <n v="211.94"/>
    <x v="1"/>
  </r>
  <r>
    <s v="ORD-1052"/>
    <x v="49"/>
    <x v="1"/>
    <x v="2"/>
    <s v="Binders"/>
    <n v="687.37"/>
    <n v="5"/>
    <n v="149.28"/>
    <x v="0"/>
  </r>
  <r>
    <s v="ORD-1053"/>
    <x v="50"/>
    <x v="1"/>
    <x v="2"/>
    <s v="Paper"/>
    <n v="69.2"/>
    <n v="7"/>
    <n v="-59.51"/>
    <x v="1"/>
  </r>
  <r>
    <s v="ORD-1054"/>
    <x v="51"/>
    <x v="1"/>
    <x v="1"/>
    <s v="Chairs"/>
    <n v="125.38"/>
    <n v="2"/>
    <n v="-75.12"/>
    <x v="0"/>
  </r>
  <r>
    <s v="ORD-1055"/>
    <x v="52"/>
    <x v="0"/>
    <x v="0"/>
    <s v="Machines"/>
    <n v="75.16"/>
    <n v="9"/>
    <n v="22.74"/>
    <x v="1"/>
  </r>
  <r>
    <s v="ORD-1056"/>
    <x v="53"/>
    <x v="2"/>
    <x v="2"/>
    <s v="Storage"/>
    <n v="808.59"/>
    <n v="7"/>
    <n v="273.07"/>
    <x v="0"/>
  </r>
  <r>
    <s v="ORD-1057"/>
    <x v="54"/>
    <x v="3"/>
    <x v="0"/>
    <s v="Accessories"/>
    <n v="875.16"/>
    <n v="3"/>
    <n v="117.11"/>
    <x v="0"/>
  </r>
  <r>
    <s v="ORD-1058"/>
    <x v="55"/>
    <x v="3"/>
    <x v="0"/>
    <s v="Machines"/>
    <n v="296.24"/>
    <n v="7"/>
    <n v="24.97"/>
    <x v="0"/>
  </r>
  <r>
    <s v="ORD-1059"/>
    <x v="56"/>
    <x v="1"/>
    <x v="0"/>
    <s v="Phones"/>
    <n v="261.2"/>
    <n v="2"/>
    <n v="-174.24"/>
    <x v="0"/>
  </r>
  <r>
    <s v="ORD-1060"/>
    <x v="57"/>
    <x v="3"/>
    <x v="0"/>
    <s v="Phones"/>
    <n v="135.22999999999999"/>
    <n v="7"/>
    <n v="91.96"/>
    <x v="1"/>
  </r>
  <r>
    <s v="ORD-1061"/>
    <x v="12"/>
    <x v="2"/>
    <x v="0"/>
    <s v="Phones"/>
    <n v="929.3"/>
    <n v="9"/>
    <n v="64.430000000000007"/>
    <x v="0"/>
  </r>
  <r>
    <s v="ORD-1062"/>
    <x v="58"/>
    <x v="0"/>
    <x v="1"/>
    <s v="Bookcases"/>
    <n v="947.7"/>
    <n v="6"/>
    <n v="233.35"/>
    <x v="1"/>
  </r>
  <r>
    <s v="ORD-1063"/>
    <x v="59"/>
    <x v="1"/>
    <x v="2"/>
    <s v="Storage"/>
    <n v="80.569999999999993"/>
    <n v="7"/>
    <n v="155.38"/>
    <x v="1"/>
  </r>
  <r>
    <s v="ORD-1064"/>
    <x v="39"/>
    <x v="2"/>
    <x v="1"/>
    <s v="Bookcases"/>
    <n v="491.67"/>
    <n v="8"/>
    <n v="75.48"/>
    <x v="1"/>
  </r>
  <r>
    <s v="ORD-1065"/>
    <x v="27"/>
    <x v="2"/>
    <x v="1"/>
    <s v="Bookcases"/>
    <n v="642.72"/>
    <n v="7"/>
    <n v="193.29"/>
    <x v="0"/>
  </r>
  <r>
    <s v="ORD-1066"/>
    <x v="60"/>
    <x v="0"/>
    <x v="1"/>
    <s v="Tables"/>
    <n v="465.48"/>
    <n v="2"/>
    <n v="33.47"/>
    <x v="0"/>
  </r>
  <r>
    <s v="ORD-1067"/>
    <x v="61"/>
    <x v="1"/>
    <x v="2"/>
    <s v="Binders"/>
    <n v="45.34"/>
    <n v="6"/>
    <n v="91.06"/>
    <x v="0"/>
  </r>
  <r>
    <s v="ORD-1068"/>
    <x v="62"/>
    <x v="2"/>
    <x v="1"/>
    <s v="Chairs"/>
    <n v="935.18"/>
    <n v="3"/>
    <n v="-81.89"/>
    <x v="0"/>
  </r>
  <r>
    <s v="ORD-1069"/>
    <x v="63"/>
    <x v="1"/>
    <x v="1"/>
    <s v="Tables"/>
    <n v="104.17"/>
    <n v="3"/>
    <n v="134.68"/>
    <x v="0"/>
  </r>
  <r>
    <s v="ORD-1070"/>
    <x v="64"/>
    <x v="2"/>
    <x v="0"/>
    <s v="Machines"/>
    <n v="588.11"/>
    <n v="8"/>
    <n v="116.48"/>
    <x v="0"/>
  </r>
  <r>
    <s v="ORD-1071"/>
    <x v="65"/>
    <x v="0"/>
    <x v="1"/>
    <s v="Tables"/>
    <n v="980.95"/>
    <n v="7"/>
    <n v="-135.02000000000001"/>
    <x v="0"/>
  </r>
  <r>
    <s v="ORD-1072"/>
    <x v="66"/>
    <x v="3"/>
    <x v="1"/>
    <s v="Chairs"/>
    <n v="297.13"/>
    <n v="9"/>
    <n v="-51.99"/>
    <x v="1"/>
  </r>
  <r>
    <s v="ORD-1073"/>
    <x v="67"/>
    <x v="2"/>
    <x v="1"/>
    <s v="Tables"/>
    <n v="415.2"/>
    <n v="1"/>
    <n v="92.78"/>
    <x v="1"/>
  </r>
  <r>
    <s v="ORD-1074"/>
    <x v="68"/>
    <x v="3"/>
    <x v="2"/>
    <s v="Binders"/>
    <n v="346.37"/>
    <n v="4"/>
    <n v="-25.92"/>
    <x v="1"/>
  </r>
  <r>
    <s v="ORD-1075"/>
    <x v="69"/>
    <x v="1"/>
    <x v="1"/>
    <s v="Bookcases"/>
    <n v="285.5"/>
    <n v="7"/>
    <n v="-76.569999999999993"/>
    <x v="0"/>
  </r>
  <r>
    <s v="ORD-1076"/>
    <x v="70"/>
    <x v="1"/>
    <x v="1"/>
    <s v="Chairs"/>
    <n v="165.01"/>
    <n v="10"/>
    <n v="188.43"/>
    <x v="0"/>
  </r>
  <r>
    <s v="ORD-1077"/>
    <x v="71"/>
    <x v="2"/>
    <x v="0"/>
    <s v="Accessories"/>
    <n v="800.66"/>
    <n v="7"/>
    <n v="93.09"/>
    <x v="1"/>
  </r>
  <r>
    <s v="ORD-1078"/>
    <x v="23"/>
    <x v="3"/>
    <x v="1"/>
    <s v="Bookcases"/>
    <n v="930.58"/>
    <n v="3"/>
    <n v="-45.29"/>
    <x v="0"/>
  </r>
  <r>
    <s v="ORD-1079"/>
    <x v="72"/>
    <x v="2"/>
    <x v="2"/>
    <s v="Storage"/>
    <n v="453.72"/>
    <n v="2"/>
    <n v="236.27"/>
    <x v="0"/>
  </r>
  <r>
    <s v="ORD-1080"/>
    <x v="73"/>
    <x v="1"/>
    <x v="0"/>
    <s v="Machines"/>
    <n v="633.44000000000005"/>
    <n v="5"/>
    <n v="172.93"/>
    <x v="1"/>
  </r>
  <r>
    <s v="ORD-1081"/>
    <x v="74"/>
    <x v="1"/>
    <x v="1"/>
    <s v="Tables"/>
    <n v="923.6"/>
    <n v="3"/>
    <n v="153.16"/>
    <x v="0"/>
  </r>
  <r>
    <s v="ORD-1082"/>
    <x v="75"/>
    <x v="0"/>
    <x v="0"/>
    <s v="Accessories"/>
    <n v="575.4"/>
    <n v="10"/>
    <n v="284.27"/>
    <x v="1"/>
  </r>
  <r>
    <s v="ORD-1083"/>
    <x v="76"/>
    <x v="1"/>
    <x v="1"/>
    <s v="Bookcases"/>
    <n v="874.04"/>
    <n v="10"/>
    <n v="-58.97"/>
    <x v="0"/>
  </r>
  <r>
    <s v="ORD-1084"/>
    <x v="77"/>
    <x v="3"/>
    <x v="1"/>
    <s v="Chairs"/>
    <n v="883.35"/>
    <n v="1"/>
    <n v="184.09"/>
    <x v="1"/>
  </r>
  <r>
    <s v="ORD-1085"/>
    <x v="78"/>
    <x v="0"/>
    <x v="1"/>
    <s v="Bookcases"/>
    <n v="294.69"/>
    <n v="3"/>
    <n v="189.38"/>
    <x v="1"/>
  </r>
  <r>
    <s v="ORD-1086"/>
    <x v="40"/>
    <x v="3"/>
    <x v="2"/>
    <s v="Binders"/>
    <n v="248.11"/>
    <n v="8"/>
    <n v="287.86"/>
    <x v="1"/>
  </r>
  <r>
    <s v="ORD-1087"/>
    <x v="79"/>
    <x v="3"/>
    <x v="0"/>
    <s v="Phones"/>
    <n v="950.06"/>
    <n v="3"/>
    <n v="53.46"/>
    <x v="0"/>
  </r>
  <r>
    <s v="ORD-1088"/>
    <x v="80"/>
    <x v="2"/>
    <x v="1"/>
    <s v="Bookcases"/>
    <n v="592.47"/>
    <n v="9"/>
    <n v="87.48"/>
    <x v="1"/>
  </r>
  <r>
    <s v="ORD-1089"/>
    <x v="81"/>
    <x v="3"/>
    <x v="2"/>
    <s v="Storage"/>
    <n v="777.51"/>
    <n v="1"/>
    <n v="-14.62"/>
    <x v="0"/>
  </r>
  <r>
    <s v="ORD-1090"/>
    <x v="82"/>
    <x v="3"/>
    <x v="1"/>
    <s v="Chairs"/>
    <n v="928.75"/>
    <n v="7"/>
    <n v="-182.3"/>
    <x v="1"/>
  </r>
  <r>
    <s v="ORD-1091"/>
    <x v="6"/>
    <x v="3"/>
    <x v="1"/>
    <s v="Bookcases"/>
    <n v="295.83"/>
    <n v="8"/>
    <n v="-189.46"/>
    <x v="0"/>
  </r>
  <r>
    <s v="ORD-1092"/>
    <x v="83"/>
    <x v="0"/>
    <x v="0"/>
    <s v="Phones"/>
    <n v="248.52"/>
    <n v="9"/>
    <n v="198.28"/>
    <x v="0"/>
  </r>
  <r>
    <s v="ORD-1093"/>
    <x v="0"/>
    <x v="1"/>
    <x v="1"/>
    <s v="Bookcases"/>
    <n v="644.69000000000005"/>
    <n v="10"/>
    <n v="-1.23"/>
    <x v="0"/>
  </r>
  <r>
    <s v="ORD-1094"/>
    <x v="84"/>
    <x v="3"/>
    <x v="1"/>
    <s v="Chairs"/>
    <n v="950.67"/>
    <n v="9"/>
    <n v="209.69"/>
    <x v="0"/>
  </r>
  <r>
    <s v="ORD-1095"/>
    <x v="85"/>
    <x v="2"/>
    <x v="1"/>
    <s v="Tables"/>
    <n v="496.67"/>
    <n v="2"/>
    <n v="-15.01"/>
    <x v="1"/>
  </r>
  <r>
    <s v="ORD-1096"/>
    <x v="86"/>
    <x v="3"/>
    <x v="1"/>
    <s v="Tables"/>
    <n v="334.67"/>
    <n v="6"/>
    <n v="116.03"/>
    <x v="1"/>
  </r>
  <r>
    <s v="ORD-1097"/>
    <x v="87"/>
    <x v="0"/>
    <x v="1"/>
    <s v="Bookcases"/>
    <n v="467.63"/>
    <n v="5"/>
    <n v="281.95"/>
    <x v="0"/>
  </r>
  <r>
    <s v="ORD-1098"/>
    <x v="88"/>
    <x v="3"/>
    <x v="2"/>
    <s v="Binders"/>
    <n v="539.57000000000005"/>
    <n v="6"/>
    <n v="211.58"/>
    <x v="1"/>
  </r>
  <r>
    <s v="ORD-1099"/>
    <x v="89"/>
    <x v="3"/>
    <x v="2"/>
    <s v="Binders"/>
    <n v="627.6"/>
    <n v="7"/>
    <n v="-133.09"/>
    <x v="1"/>
  </r>
  <r>
    <s v="ORD-1100"/>
    <x v="90"/>
    <x v="3"/>
    <x v="1"/>
    <s v="Bookcases"/>
    <n v="323.52"/>
    <n v="5"/>
    <n v="84.39"/>
    <x v="1"/>
  </r>
  <r>
    <s v="ORD-1101"/>
    <x v="91"/>
    <x v="1"/>
    <x v="2"/>
    <s v="Paper"/>
    <n v="87.43"/>
    <n v="3"/>
    <n v="18.75"/>
    <x v="1"/>
  </r>
  <r>
    <s v="ORD-1102"/>
    <x v="92"/>
    <x v="1"/>
    <x v="1"/>
    <s v="Tables"/>
    <n v="567.73"/>
    <n v="9"/>
    <n v="131.66"/>
    <x v="0"/>
  </r>
  <r>
    <s v="ORD-1103"/>
    <x v="93"/>
    <x v="3"/>
    <x v="1"/>
    <s v="Bookcases"/>
    <n v="733.25"/>
    <n v="8"/>
    <n v="245.06"/>
    <x v="0"/>
  </r>
  <r>
    <s v="ORD-1104"/>
    <x v="94"/>
    <x v="0"/>
    <x v="1"/>
    <s v="Tables"/>
    <n v="618.46"/>
    <n v="10"/>
    <n v="45.12"/>
    <x v="1"/>
  </r>
  <r>
    <s v="ORD-1105"/>
    <x v="95"/>
    <x v="0"/>
    <x v="1"/>
    <s v="Tables"/>
    <n v="470.25"/>
    <n v="6"/>
    <n v="293.70999999999998"/>
    <x v="0"/>
  </r>
  <r>
    <s v="ORD-1106"/>
    <x v="96"/>
    <x v="1"/>
    <x v="0"/>
    <s v="Accessories"/>
    <n v="143.65"/>
    <n v="7"/>
    <n v="-170.32"/>
    <x v="0"/>
  </r>
  <r>
    <s v="ORD-1107"/>
    <x v="97"/>
    <x v="3"/>
    <x v="2"/>
    <s v="Storage"/>
    <n v="548.16999999999996"/>
    <n v="7"/>
    <n v="-131.30000000000001"/>
    <x v="0"/>
  </r>
  <r>
    <s v="ORD-1108"/>
    <x v="98"/>
    <x v="0"/>
    <x v="0"/>
    <s v="Machines"/>
    <n v="818.33"/>
    <n v="10"/>
    <n v="76.84"/>
    <x v="1"/>
  </r>
  <r>
    <s v="ORD-1109"/>
    <x v="99"/>
    <x v="1"/>
    <x v="2"/>
    <s v="Storage"/>
    <n v="551.6"/>
    <n v="2"/>
    <n v="-187.18"/>
    <x v="0"/>
  </r>
  <r>
    <s v="ORD-1110"/>
    <x v="100"/>
    <x v="1"/>
    <x v="1"/>
    <s v="Bookcases"/>
    <n v="89.85"/>
    <n v="7"/>
    <n v="64.290000000000006"/>
    <x v="1"/>
  </r>
  <r>
    <s v="ORD-1111"/>
    <x v="101"/>
    <x v="0"/>
    <x v="1"/>
    <s v="Chairs"/>
    <n v="330.52"/>
    <n v="8"/>
    <n v="181.95"/>
    <x v="0"/>
  </r>
  <r>
    <s v="ORD-1112"/>
    <x v="102"/>
    <x v="1"/>
    <x v="2"/>
    <s v="Binders"/>
    <n v="356.86"/>
    <n v="8"/>
    <n v="264.86"/>
    <x v="0"/>
  </r>
  <r>
    <s v="ORD-1113"/>
    <x v="103"/>
    <x v="3"/>
    <x v="0"/>
    <s v="Machines"/>
    <n v="582.76"/>
    <n v="5"/>
    <n v="282.95"/>
    <x v="0"/>
  </r>
  <r>
    <s v="ORD-1114"/>
    <x v="104"/>
    <x v="3"/>
    <x v="2"/>
    <s v="Binders"/>
    <n v="495.67"/>
    <n v="6"/>
    <n v="-123.32"/>
    <x v="1"/>
  </r>
  <r>
    <s v="ORD-1115"/>
    <x v="105"/>
    <x v="2"/>
    <x v="1"/>
    <s v="Tables"/>
    <n v="891.94"/>
    <n v="5"/>
    <n v="44.64"/>
    <x v="0"/>
  </r>
  <r>
    <s v="ORD-1116"/>
    <x v="106"/>
    <x v="2"/>
    <x v="2"/>
    <s v="Binders"/>
    <n v="771.76"/>
    <n v="5"/>
    <n v="75.66"/>
    <x v="0"/>
  </r>
  <r>
    <s v="ORD-1117"/>
    <x v="107"/>
    <x v="0"/>
    <x v="2"/>
    <s v="Paper"/>
    <n v="278.76"/>
    <n v="4"/>
    <n v="-106.33"/>
    <x v="1"/>
  </r>
  <r>
    <s v="ORD-1118"/>
    <x v="77"/>
    <x v="2"/>
    <x v="1"/>
    <s v="Tables"/>
    <n v="414.14"/>
    <n v="1"/>
    <n v="-181.94"/>
    <x v="1"/>
  </r>
  <r>
    <s v="ORD-1119"/>
    <x v="108"/>
    <x v="2"/>
    <x v="0"/>
    <s v="Phones"/>
    <n v="806.49"/>
    <n v="9"/>
    <n v="11.07"/>
    <x v="1"/>
  </r>
  <r>
    <s v="ORD-1120"/>
    <x v="109"/>
    <x v="3"/>
    <x v="0"/>
    <s v="Machines"/>
    <n v="734.87"/>
    <n v="8"/>
    <n v="65.73"/>
    <x v="0"/>
  </r>
  <r>
    <s v="ORD-1121"/>
    <x v="110"/>
    <x v="0"/>
    <x v="0"/>
    <s v="Accessories"/>
    <n v="867.91"/>
    <n v="9"/>
    <n v="257.16000000000003"/>
    <x v="0"/>
  </r>
  <r>
    <s v="ORD-1122"/>
    <x v="111"/>
    <x v="0"/>
    <x v="1"/>
    <s v="Chairs"/>
    <n v="328.69"/>
    <n v="4"/>
    <n v="17.010000000000002"/>
    <x v="1"/>
  </r>
  <r>
    <s v="ORD-1123"/>
    <x v="112"/>
    <x v="2"/>
    <x v="1"/>
    <s v="Chairs"/>
    <n v="570.82000000000005"/>
    <n v="7"/>
    <n v="53.15"/>
    <x v="0"/>
  </r>
  <r>
    <s v="ORD-1124"/>
    <x v="113"/>
    <x v="0"/>
    <x v="2"/>
    <s v="Paper"/>
    <n v="121.37"/>
    <n v="8"/>
    <n v="26.87"/>
    <x v="0"/>
  </r>
  <r>
    <s v="ORD-1125"/>
    <x v="114"/>
    <x v="3"/>
    <x v="1"/>
    <s v="Bookcases"/>
    <n v="232.2"/>
    <n v="4"/>
    <n v="-142.97"/>
    <x v="0"/>
  </r>
  <r>
    <s v="ORD-1126"/>
    <x v="115"/>
    <x v="1"/>
    <x v="1"/>
    <s v="Tables"/>
    <n v="585.80999999999995"/>
    <n v="4"/>
    <n v="195.01"/>
    <x v="1"/>
  </r>
  <r>
    <s v="ORD-1127"/>
    <x v="116"/>
    <x v="2"/>
    <x v="1"/>
    <s v="Bookcases"/>
    <n v="561.94000000000005"/>
    <n v="7"/>
    <n v="57.9"/>
    <x v="1"/>
  </r>
  <r>
    <s v="ORD-1128"/>
    <x v="117"/>
    <x v="3"/>
    <x v="1"/>
    <s v="Chairs"/>
    <n v="289.44"/>
    <n v="2"/>
    <n v="33.96"/>
    <x v="1"/>
  </r>
  <r>
    <s v="ORD-1129"/>
    <x v="118"/>
    <x v="2"/>
    <x v="0"/>
    <s v="Machines"/>
    <n v="172.3"/>
    <n v="6"/>
    <n v="287.67"/>
    <x v="0"/>
  </r>
  <r>
    <s v="ORD-1130"/>
    <x v="119"/>
    <x v="2"/>
    <x v="1"/>
    <s v="Chairs"/>
    <n v="916.47"/>
    <n v="10"/>
    <n v="218.12"/>
    <x v="0"/>
  </r>
  <r>
    <s v="ORD-1131"/>
    <x v="97"/>
    <x v="3"/>
    <x v="1"/>
    <s v="Tables"/>
    <n v="115.59"/>
    <n v="10"/>
    <n v="-101.59"/>
    <x v="0"/>
  </r>
  <r>
    <s v="ORD-1132"/>
    <x v="72"/>
    <x v="1"/>
    <x v="2"/>
    <s v="Storage"/>
    <n v="883.7"/>
    <n v="8"/>
    <n v="239.52"/>
    <x v="0"/>
  </r>
  <r>
    <s v="ORD-1133"/>
    <x v="120"/>
    <x v="1"/>
    <x v="1"/>
    <s v="Chairs"/>
    <n v="809.3"/>
    <n v="4"/>
    <n v="-169.02"/>
    <x v="0"/>
  </r>
  <r>
    <s v="ORD-1134"/>
    <x v="121"/>
    <x v="0"/>
    <x v="1"/>
    <s v="Tables"/>
    <n v="196.11"/>
    <n v="3"/>
    <n v="216.73"/>
    <x v="1"/>
  </r>
  <r>
    <s v="ORD-1135"/>
    <x v="122"/>
    <x v="0"/>
    <x v="1"/>
    <s v="Tables"/>
    <n v="731.54"/>
    <n v="4"/>
    <n v="178.99"/>
    <x v="0"/>
  </r>
  <r>
    <s v="ORD-1136"/>
    <x v="123"/>
    <x v="2"/>
    <x v="0"/>
    <s v="Accessories"/>
    <n v="237.14"/>
    <n v="4"/>
    <n v="265.25"/>
    <x v="1"/>
  </r>
  <r>
    <s v="ORD-1137"/>
    <x v="124"/>
    <x v="0"/>
    <x v="2"/>
    <s v="Storage"/>
    <n v="895.92"/>
    <n v="8"/>
    <n v="179.05"/>
    <x v="0"/>
  </r>
  <r>
    <s v="ORD-1138"/>
    <x v="125"/>
    <x v="1"/>
    <x v="2"/>
    <s v="Binders"/>
    <n v="910.13"/>
    <n v="1"/>
    <n v="13.9"/>
    <x v="1"/>
  </r>
  <r>
    <s v="ORD-1139"/>
    <x v="126"/>
    <x v="2"/>
    <x v="0"/>
    <s v="Machines"/>
    <n v="475.71"/>
    <n v="5"/>
    <n v="178.61"/>
    <x v="1"/>
  </r>
  <r>
    <s v="ORD-1140"/>
    <x v="127"/>
    <x v="1"/>
    <x v="1"/>
    <s v="Tables"/>
    <n v="544.86"/>
    <n v="10"/>
    <n v="134.78"/>
    <x v="1"/>
  </r>
  <r>
    <s v="ORD-1141"/>
    <x v="128"/>
    <x v="2"/>
    <x v="2"/>
    <s v="Binders"/>
    <n v="44.38"/>
    <n v="6"/>
    <n v="-196.13"/>
    <x v="1"/>
  </r>
  <r>
    <s v="ORD-1142"/>
    <x v="129"/>
    <x v="3"/>
    <x v="1"/>
    <s v="Bookcases"/>
    <n v="832.09"/>
    <n v="3"/>
    <n v="-182.17"/>
    <x v="1"/>
  </r>
  <r>
    <s v="ORD-1143"/>
    <x v="130"/>
    <x v="0"/>
    <x v="2"/>
    <s v="Storage"/>
    <n v="939.81"/>
    <n v="2"/>
    <n v="-197.17"/>
    <x v="0"/>
  </r>
  <r>
    <s v="ORD-1144"/>
    <x v="117"/>
    <x v="2"/>
    <x v="0"/>
    <s v="Accessories"/>
    <n v="238.73"/>
    <n v="7"/>
    <n v="40.15"/>
    <x v="1"/>
  </r>
  <r>
    <s v="ORD-1145"/>
    <x v="131"/>
    <x v="3"/>
    <x v="2"/>
    <s v="Binders"/>
    <n v="724.17"/>
    <n v="7"/>
    <n v="-155.88999999999999"/>
    <x v="1"/>
  </r>
  <r>
    <s v="ORD-1146"/>
    <x v="32"/>
    <x v="3"/>
    <x v="1"/>
    <s v="Chairs"/>
    <n v="591.42999999999995"/>
    <n v="4"/>
    <n v="-58.05"/>
    <x v="0"/>
  </r>
  <r>
    <s v="ORD-1147"/>
    <x v="132"/>
    <x v="0"/>
    <x v="2"/>
    <s v="Storage"/>
    <n v="536.9"/>
    <n v="2"/>
    <n v="145.44"/>
    <x v="0"/>
  </r>
  <r>
    <s v="ORD-1148"/>
    <x v="133"/>
    <x v="3"/>
    <x v="0"/>
    <s v="Phones"/>
    <n v="152.80000000000001"/>
    <n v="5"/>
    <n v="-7.79"/>
    <x v="1"/>
  </r>
  <r>
    <s v="ORD-1149"/>
    <x v="134"/>
    <x v="3"/>
    <x v="0"/>
    <s v="Phones"/>
    <n v="395.87"/>
    <n v="8"/>
    <n v="-166.38"/>
    <x v="0"/>
  </r>
  <r>
    <s v="ORD-1150"/>
    <x v="135"/>
    <x v="2"/>
    <x v="2"/>
    <s v="Storage"/>
    <n v="125.77"/>
    <n v="10"/>
    <n v="172.1"/>
    <x v="0"/>
  </r>
  <r>
    <s v="ORD-1151"/>
    <x v="68"/>
    <x v="2"/>
    <x v="2"/>
    <s v="Binders"/>
    <n v="661.59"/>
    <n v="8"/>
    <n v="207.94"/>
    <x v="1"/>
  </r>
  <r>
    <s v="ORD-1152"/>
    <x v="136"/>
    <x v="3"/>
    <x v="0"/>
    <s v="Phones"/>
    <n v="996.29"/>
    <n v="3"/>
    <n v="269.47000000000003"/>
    <x v="1"/>
  </r>
  <r>
    <s v="ORD-1153"/>
    <x v="95"/>
    <x v="1"/>
    <x v="1"/>
    <s v="Chairs"/>
    <n v="452.65"/>
    <n v="4"/>
    <n v="-59.4"/>
    <x v="0"/>
  </r>
  <r>
    <s v="ORD-1154"/>
    <x v="137"/>
    <x v="0"/>
    <x v="1"/>
    <s v="Chairs"/>
    <n v="303.18"/>
    <n v="9"/>
    <n v="149.83000000000001"/>
    <x v="1"/>
  </r>
  <r>
    <s v="ORD-1155"/>
    <x v="115"/>
    <x v="2"/>
    <x v="0"/>
    <s v="Accessories"/>
    <n v="863.05"/>
    <n v="10"/>
    <n v="-32.5"/>
    <x v="1"/>
  </r>
  <r>
    <s v="ORD-1156"/>
    <x v="138"/>
    <x v="0"/>
    <x v="2"/>
    <s v="Paper"/>
    <n v="118.25"/>
    <n v="1"/>
    <n v="-14.38"/>
    <x v="0"/>
  </r>
  <r>
    <s v="ORD-1157"/>
    <x v="139"/>
    <x v="0"/>
    <x v="1"/>
    <s v="Tables"/>
    <n v="250.92"/>
    <n v="5"/>
    <n v="10.9"/>
    <x v="0"/>
  </r>
  <r>
    <s v="ORD-1158"/>
    <x v="140"/>
    <x v="3"/>
    <x v="2"/>
    <s v="Storage"/>
    <n v="896.3"/>
    <n v="8"/>
    <n v="122.79"/>
    <x v="0"/>
  </r>
  <r>
    <s v="ORD-1159"/>
    <x v="141"/>
    <x v="0"/>
    <x v="1"/>
    <s v="Tables"/>
    <n v="113.57"/>
    <n v="3"/>
    <n v="-17.04"/>
    <x v="0"/>
  </r>
  <r>
    <s v="ORD-1160"/>
    <x v="142"/>
    <x v="1"/>
    <x v="2"/>
    <s v="Paper"/>
    <n v="511.91"/>
    <n v="7"/>
    <n v="127.76"/>
    <x v="1"/>
  </r>
  <r>
    <s v="ORD-1161"/>
    <x v="70"/>
    <x v="0"/>
    <x v="1"/>
    <s v="Chairs"/>
    <n v="630.91999999999996"/>
    <n v="10"/>
    <n v="18.68"/>
    <x v="0"/>
  </r>
  <r>
    <s v="ORD-1162"/>
    <x v="143"/>
    <x v="0"/>
    <x v="1"/>
    <s v="Bookcases"/>
    <n v="951.14"/>
    <n v="7"/>
    <n v="224.81"/>
    <x v="0"/>
  </r>
  <r>
    <s v="ORD-1163"/>
    <x v="144"/>
    <x v="3"/>
    <x v="0"/>
    <s v="Machines"/>
    <n v="844.58"/>
    <n v="9"/>
    <n v="216.34"/>
    <x v="1"/>
  </r>
  <r>
    <s v="ORD-1164"/>
    <x v="145"/>
    <x v="2"/>
    <x v="2"/>
    <s v="Binders"/>
    <n v="115.92"/>
    <n v="7"/>
    <n v="-20.77"/>
    <x v="1"/>
  </r>
  <r>
    <s v="ORD-1165"/>
    <x v="146"/>
    <x v="2"/>
    <x v="0"/>
    <s v="Accessories"/>
    <n v="343.67"/>
    <n v="2"/>
    <n v="84.08"/>
    <x v="0"/>
  </r>
  <r>
    <s v="ORD-1166"/>
    <x v="147"/>
    <x v="3"/>
    <x v="2"/>
    <s v="Storage"/>
    <n v="909.44"/>
    <n v="1"/>
    <n v="-185.35"/>
    <x v="1"/>
  </r>
  <r>
    <s v="ORD-1167"/>
    <x v="52"/>
    <x v="2"/>
    <x v="2"/>
    <s v="Paper"/>
    <n v="381.25"/>
    <n v="8"/>
    <n v="-152.01"/>
    <x v="1"/>
  </r>
  <r>
    <s v="ORD-1168"/>
    <x v="148"/>
    <x v="3"/>
    <x v="1"/>
    <s v="Bookcases"/>
    <n v="844.42"/>
    <n v="8"/>
    <n v="-48.59"/>
    <x v="0"/>
  </r>
  <r>
    <s v="ORD-1169"/>
    <x v="149"/>
    <x v="1"/>
    <x v="2"/>
    <s v="Storage"/>
    <n v="755.84"/>
    <n v="9"/>
    <n v="32.93"/>
    <x v="0"/>
  </r>
  <r>
    <s v="ORD-1170"/>
    <x v="86"/>
    <x v="2"/>
    <x v="0"/>
    <s v="Phones"/>
    <n v="104.88"/>
    <n v="4"/>
    <n v="-63.12"/>
    <x v="1"/>
  </r>
  <r>
    <s v="ORD-1171"/>
    <x v="150"/>
    <x v="3"/>
    <x v="2"/>
    <s v="Binders"/>
    <n v="96.37"/>
    <n v="5"/>
    <n v="-170.05"/>
    <x v="0"/>
  </r>
  <r>
    <s v="ORD-1172"/>
    <x v="151"/>
    <x v="1"/>
    <x v="0"/>
    <s v="Machines"/>
    <n v="741.61"/>
    <n v="4"/>
    <n v="-30.86"/>
    <x v="1"/>
  </r>
  <r>
    <s v="ORD-1173"/>
    <x v="152"/>
    <x v="2"/>
    <x v="0"/>
    <s v="Machines"/>
    <n v="79.709999999999994"/>
    <n v="2"/>
    <n v="-45.4"/>
    <x v="0"/>
  </r>
  <r>
    <s v="ORD-1174"/>
    <x v="153"/>
    <x v="1"/>
    <x v="1"/>
    <s v="Tables"/>
    <n v="55.99"/>
    <n v="3"/>
    <n v="194.92"/>
    <x v="1"/>
  </r>
  <r>
    <s v="ORD-1175"/>
    <x v="154"/>
    <x v="2"/>
    <x v="2"/>
    <s v="Storage"/>
    <n v="634.05999999999995"/>
    <n v="5"/>
    <n v="245.83"/>
    <x v="0"/>
  </r>
  <r>
    <s v="ORD-1176"/>
    <x v="155"/>
    <x v="3"/>
    <x v="2"/>
    <s v="Binders"/>
    <n v="61.3"/>
    <n v="1"/>
    <n v="-190.14"/>
    <x v="1"/>
  </r>
  <r>
    <s v="ORD-1177"/>
    <x v="91"/>
    <x v="1"/>
    <x v="0"/>
    <s v="Accessories"/>
    <n v="135.52000000000001"/>
    <n v="4"/>
    <n v="53.61"/>
    <x v="1"/>
  </r>
  <r>
    <s v="ORD-1178"/>
    <x v="125"/>
    <x v="3"/>
    <x v="2"/>
    <s v="Binders"/>
    <n v="645.79"/>
    <n v="4"/>
    <n v="-59.32"/>
    <x v="1"/>
  </r>
  <r>
    <s v="ORD-1179"/>
    <x v="156"/>
    <x v="2"/>
    <x v="0"/>
    <s v="Accessories"/>
    <n v="586.61"/>
    <n v="3"/>
    <n v="-58.72"/>
    <x v="0"/>
  </r>
  <r>
    <s v="ORD-1180"/>
    <x v="157"/>
    <x v="2"/>
    <x v="0"/>
    <s v="Phones"/>
    <n v="590.52"/>
    <n v="2"/>
    <n v="215.6"/>
    <x v="1"/>
  </r>
  <r>
    <s v="ORD-1181"/>
    <x v="143"/>
    <x v="1"/>
    <x v="2"/>
    <s v="Storage"/>
    <n v="143.08000000000001"/>
    <n v="5"/>
    <n v="-47.91"/>
    <x v="0"/>
  </r>
  <r>
    <s v="ORD-1182"/>
    <x v="158"/>
    <x v="1"/>
    <x v="0"/>
    <s v="Accessories"/>
    <n v="900.54"/>
    <n v="1"/>
    <n v="-55.76"/>
    <x v="0"/>
  </r>
  <r>
    <s v="ORD-1183"/>
    <x v="57"/>
    <x v="3"/>
    <x v="0"/>
    <s v="Machines"/>
    <n v="77.27"/>
    <n v="9"/>
    <n v="-164.61"/>
    <x v="1"/>
  </r>
  <r>
    <s v="ORD-1184"/>
    <x v="73"/>
    <x v="0"/>
    <x v="1"/>
    <s v="Chairs"/>
    <n v="306.12"/>
    <n v="7"/>
    <n v="298.39999999999998"/>
    <x v="1"/>
  </r>
  <r>
    <s v="ORD-1185"/>
    <x v="14"/>
    <x v="2"/>
    <x v="2"/>
    <s v="Binders"/>
    <n v="323.69"/>
    <n v="8"/>
    <n v="-115.07"/>
    <x v="1"/>
  </r>
  <r>
    <s v="ORD-1186"/>
    <x v="159"/>
    <x v="1"/>
    <x v="2"/>
    <s v="Paper"/>
    <n v="402.55"/>
    <n v="3"/>
    <n v="18.04"/>
    <x v="0"/>
  </r>
  <r>
    <s v="ORD-1187"/>
    <x v="160"/>
    <x v="0"/>
    <x v="2"/>
    <s v="Binders"/>
    <n v="70.47"/>
    <n v="2"/>
    <n v="160.51"/>
    <x v="1"/>
  </r>
  <r>
    <s v="ORD-1188"/>
    <x v="30"/>
    <x v="3"/>
    <x v="1"/>
    <s v="Bookcases"/>
    <n v="170.79"/>
    <n v="6"/>
    <n v="188.92"/>
    <x v="1"/>
  </r>
  <r>
    <s v="ORD-1189"/>
    <x v="161"/>
    <x v="1"/>
    <x v="2"/>
    <s v="Paper"/>
    <n v="824.23"/>
    <n v="1"/>
    <n v="-25.46"/>
    <x v="0"/>
  </r>
  <r>
    <s v="ORD-1190"/>
    <x v="162"/>
    <x v="1"/>
    <x v="0"/>
    <s v="Phones"/>
    <n v="609.57000000000005"/>
    <n v="4"/>
    <n v="-94.4"/>
    <x v="1"/>
  </r>
  <r>
    <s v="ORD-1191"/>
    <x v="2"/>
    <x v="1"/>
    <x v="1"/>
    <s v="Bookcases"/>
    <n v="826.45"/>
    <n v="5"/>
    <n v="148.30000000000001"/>
    <x v="0"/>
  </r>
  <r>
    <s v="ORD-1192"/>
    <x v="163"/>
    <x v="2"/>
    <x v="2"/>
    <s v="Storage"/>
    <n v="701.85"/>
    <n v="8"/>
    <n v="211.9"/>
    <x v="1"/>
  </r>
  <r>
    <s v="ORD-1193"/>
    <x v="164"/>
    <x v="3"/>
    <x v="1"/>
    <s v="Chairs"/>
    <n v="41.54"/>
    <n v="2"/>
    <n v="-38.49"/>
    <x v="0"/>
  </r>
  <r>
    <s v="ORD-1194"/>
    <x v="165"/>
    <x v="1"/>
    <x v="0"/>
    <s v="Accessories"/>
    <n v="672.85"/>
    <n v="6"/>
    <n v="-53.36"/>
    <x v="0"/>
  </r>
  <r>
    <s v="ORD-1195"/>
    <x v="166"/>
    <x v="0"/>
    <x v="2"/>
    <s v="Binders"/>
    <n v="186.86"/>
    <n v="3"/>
    <n v="90.29"/>
    <x v="0"/>
  </r>
  <r>
    <s v="ORD-1196"/>
    <x v="167"/>
    <x v="0"/>
    <x v="2"/>
    <s v="Binders"/>
    <n v="387.85"/>
    <n v="6"/>
    <n v="293.42"/>
    <x v="1"/>
  </r>
  <r>
    <s v="ORD-1197"/>
    <x v="168"/>
    <x v="0"/>
    <x v="0"/>
    <s v="Machines"/>
    <n v="922.28"/>
    <n v="3"/>
    <n v="-64.5"/>
    <x v="1"/>
  </r>
  <r>
    <s v="ORD-1198"/>
    <x v="169"/>
    <x v="3"/>
    <x v="0"/>
    <s v="Accessories"/>
    <n v="198.62"/>
    <n v="2"/>
    <n v="3.38"/>
    <x v="0"/>
  </r>
  <r>
    <s v="ORD-1199"/>
    <x v="170"/>
    <x v="1"/>
    <x v="2"/>
    <s v="Binders"/>
    <n v="191.45"/>
    <n v="9"/>
    <n v="55.4"/>
    <x v="0"/>
  </r>
  <r>
    <s v="ORD-1200"/>
    <x v="141"/>
    <x v="3"/>
    <x v="1"/>
    <s v="Bookcases"/>
    <n v="777.73"/>
    <n v="1"/>
    <n v="-3.36"/>
    <x v="0"/>
  </r>
  <r>
    <s v="ORD-1201"/>
    <x v="171"/>
    <x v="1"/>
    <x v="0"/>
    <s v="Accessories"/>
    <n v="400.71"/>
    <n v="10"/>
    <n v="-68.650000000000006"/>
    <x v="1"/>
  </r>
  <r>
    <s v="ORD-1202"/>
    <x v="172"/>
    <x v="2"/>
    <x v="1"/>
    <s v="Bookcases"/>
    <n v="307.45"/>
    <n v="3"/>
    <n v="-30.44"/>
    <x v="0"/>
  </r>
  <r>
    <s v="ORD-1203"/>
    <x v="165"/>
    <x v="0"/>
    <x v="2"/>
    <s v="Binders"/>
    <n v="974.4"/>
    <n v="1"/>
    <n v="-88.82"/>
    <x v="0"/>
  </r>
  <r>
    <s v="ORD-1204"/>
    <x v="173"/>
    <x v="3"/>
    <x v="1"/>
    <s v="Tables"/>
    <n v="315.37"/>
    <n v="8"/>
    <n v="-131.08000000000001"/>
    <x v="0"/>
  </r>
  <r>
    <s v="ORD-1205"/>
    <x v="174"/>
    <x v="3"/>
    <x v="0"/>
    <s v="Phones"/>
    <n v="535.91999999999996"/>
    <n v="6"/>
    <n v="-35.130000000000003"/>
    <x v="0"/>
  </r>
  <r>
    <s v="ORD-1206"/>
    <x v="175"/>
    <x v="3"/>
    <x v="0"/>
    <s v="Machines"/>
    <n v="235.75"/>
    <n v="8"/>
    <n v="17.04"/>
    <x v="0"/>
  </r>
  <r>
    <s v="ORD-1207"/>
    <x v="139"/>
    <x v="0"/>
    <x v="1"/>
    <s v="Bookcases"/>
    <n v="626.5"/>
    <n v="6"/>
    <n v="124.31"/>
    <x v="0"/>
  </r>
  <r>
    <s v="ORD-1208"/>
    <x v="176"/>
    <x v="0"/>
    <x v="1"/>
    <s v="Chairs"/>
    <n v="513.72"/>
    <n v="6"/>
    <n v="57.77"/>
    <x v="1"/>
  </r>
  <r>
    <s v="ORD-1209"/>
    <x v="60"/>
    <x v="2"/>
    <x v="1"/>
    <s v="Chairs"/>
    <n v="506.08"/>
    <n v="10"/>
    <n v="-190.76"/>
    <x v="0"/>
  </r>
  <r>
    <s v="ORD-1210"/>
    <x v="177"/>
    <x v="1"/>
    <x v="2"/>
    <s v="Storage"/>
    <n v="639.4"/>
    <n v="7"/>
    <n v="-133.30000000000001"/>
    <x v="0"/>
  </r>
  <r>
    <s v="ORD-1211"/>
    <x v="178"/>
    <x v="1"/>
    <x v="1"/>
    <s v="Bookcases"/>
    <n v="675.61"/>
    <n v="10"/>
    <n v="4.5"/>
    <x v="1"/>
  </r>
  <r>
    <s v="ORD-1212"/>
    <x v="179"/>
    <x v="3"/>
    <x v="2"/>
    <s v="Paper"/>
    <n v="600.30999999999995"/>
    <n v="5"/>
    <n v="-168.27"/>
    <x v="0"/>
  </r>
  <r>
    <s v="ORD-1213"/>
    <x v="180"/>
    <x v="1"/>
    <x v="1"/>
    <s v="Bookcases"/>
    <n v="670.16"/>
    <n v="5"/>
    <n v="296.20999999999998"/>
    <x v="1"/>
  </r>
  <r>
    <s v="ORD-1214"/>
    <x v="6"/>
    <x v="1"/>
    <x v="0"/>
    <s v="Phones"/>
    <n v="754.23"/>
    <n v="5"/>
    <n v="67.22"/>
    <x v="0"/>
  </r>
  <r>
    <s v="ORD-1215"/>
    <x v="181"/>
    <x v="3"/>
    <x v="0"/>
    <s v="Machines"/>
    <n v="60.19"/>
    <n v="4"/>
    <n v="219.04"/>
    <x v="0"/>
  </r>
  <r>
    <s v="ORD-1216"/>
    <x v="182"/>
    <x v="1"/>
    <x v="0"/>
    <s v="Accessories"/>
    <n v="163.93"/>
    <n v="2"/>
    <n v="93.74"/>
    <x v="1"/>
  </r>
  <r>
    <s v="ORD-1217"/>
    <x v="119"/>
    <x v="0"/>
    <x v="2"/>
    <s v="Binders"/>
    <n v="627.04999999999995"/>
    <n v="4"/>
    <n v="-188.77"/>
    <x v="0"/>
  </r>
  <r>
    <s v="ORD-1218"/>
    <x v="183"/>
    <x v="1"/>
    <x v="2"/>
    <s v="Storage"/>
    <n v="372.25"/>
    <n v="8"/>
    <n v="-129.56"/>
    <x v="1"/>
  </r>
  <r>
    <s v="ORD-1219"/>
    <x v="184"/>
    <x v="2"/>
    <x v="2"/>
    <s v="Binders"/>
    <n v="660.83"/>
    <n v="5"/>
    <n v="203.36"/>
    <x v="0"/>
  </r>
  <r>
    <s v="ORD-1220"/>
    <x v="185"/>
    <x v="3"/>
    <x v="0"/>
    <s v="Machines"/>
    <n v="767.45"/>
    <n v="9"/>
    <n v="-172.46"/>
    <x v="1"/>
  </r>
  <r>
    <s v="ORD-1221"/>
    <x v="186"/>
    <x v="1"/>
    <x v="0"/>
    <s v="Machines"/>
    <n v="612.46"/>
    <n v="7"/>
    <n v="209.26"/>
    <x v="1"/>
  </r>
  <r>
    <s v="ORD-1222"/>
    <x v="187"/>
    <x v="0"/>
    <x v="0"/>
    <s v="Machines"/>
    <n v="444.98"/>
    <n v="9"/>
    <n v="12.9"/>
    <x v="1"/>
  </r>
  <r>
    <s v="ORD-1223"/>
    <x v="188"/>
    <x v="0"/>
    <x v="0"/>
    <s v="Accessories"/>
    <n v="67.59"/>
    <n v="9"/>
    <n v="72.02"/>
    <x v="1"/>
  </r>
  <r>
    <s v="ORD-1224"/>
    <x v="165"/>
    <x v="1"/>
    <x v="0"/>
    <s v="Phones"/>
    <n v="289.97000000000003"/>
    <n v="9"/>
    <n v="262.54000000000002"/>
    <x v="0"/>
  </r>
  <r>
    <s v="ORD-1225"/>
    <x v="189"/>
    <x v="1"/>
    <x v="2"/>
    <s v="Storage"/>
    <n v="534.69000000000005"/>
    <n v="7"/>
    <n v="-71.44"/>
    <x v="0"/>
  </r>
  <r>
    <s v="ORD-1226"/>
    <x v="190"/>
    <x v="1"/>
    <x v="1"/>
    <s v="Tables"/>
    <n v="702.27"/>
    <n v="3"/>
    <n v="-111.7"/>
    <x v="1"/>
  </r>
  <r>
    <s v="ORD-1227"/>
    <x v="191"/>
    <x v="3"/>
    <x v="1"/>
    <s v="Bookcases"/>
    <n v="484.37"/>
    <n v="8"/>
    <n v="49.47"/>
    <x v="1"/>
  </r>
  <r>
    <s v="ORD-1228"/>
    <x v="192"/>
    <x v="1"/>
    <x v="2"/>
    <s v="Storage"/>
    <n v="919.39"/>
    <n v="6"/>
    <n v="-12.05"/>
    <x v="0"/>
  </r>
  <r>
    <s v="ORD-1229"/>
    <x v="193"/>
    <x v="2"/>
    <x v="0"/>
    <s v="Machines"/>
    <n v="537.91"/>
    <n v="8"/>
    <n v="99.91"/>
    <x v="0"/>
  </r>
  <r>
    <s v="ORD-1230"/>
    <x v="194"/>
    <x v="1"/>
    <x v="2"/>
    <s v="Binders"/>
    <n v="866.83"/>
    <n v="6"/>
    <n v="20.41"/>
    <x v="1"/>
  </r>
  <r>
    <s v="ORD-1231"/>
    <x v="195"/>
    <x v="2"/>
    <x v="1"/>
    <s v="Tables"/>
    <n v="902.78"/>
    <n v="3"/>
    <n v="276.35000000000002"/>
    <x v="1"/>
  </r>
  <r>
    <s v="ORD-1232"/>
    <x v="196"/>
    <x v="2"/>
    <x v="1"/>
    <s v="Tables"/>
    <n v="240.16"/>
    <n v="9"/>
    <n v="238.7"/>
    <x v="0"/>
  </r>
  <r>
    <s v="ORD-1233"/>
    <x v="197"/>
    <x v="2"/>
    <x v="0"/>
    <s v="Machines"/>
    <n v="821.26"/>
    <n v="10"/>
    <n v="203.53"/>
    <x v="1"/>
  </r>
  <r>
    <s v="ORD-1234"/>
    <x v="198"/>
    <x v="3"/>
    <x v="1"/>
    <s v="Tables"/>
    <n v="355.23"/>
    <n v="10"/>
    <n v="139.6"/>
    <x v="1"/>
  </r>
  <r>
    <s v="ORD-1235"/>
    <x v="199"/>
    <x v="2"/>
    <x v="0"/>
    <s v="Accessories"/>
    <n v="924.36"/>
    <n v="3"/>
    <n v="-151.41999999999999"/>
    <x v="1"/>
  </r>
  <r>
    <s v="ORD-1236"/>
    <x v="111"/>
    <x v="3"/>
    <x v="2"/>
    <s v="Storage"/>
    <n v="521.87"/>
    <n v="9"/>
    <n v="187.65"/>
    <x v="1"/>
  </r>
  <r>
    <s v="ORD-1237"/>
    <x v="200"/>
    <x v="0"/>
    <x v="2"/>
    <s v="Binders"/>
    <n v="311.85000000000002"/>
    <n v="2"/>
    <n v="-56.73"/>
    <x v="1"/>
  </r>
  <r>
    <s v="ORD-1238"/>
    <x v="201"/>
    <x v="2"/>
    <x v="2"/>
    <s v="Binders"/>
    <n v="104.84"/>
    <n v="9"/>
    <n v="163.04"/>
    <x v="0"/>
  </r>
  <r>
    <s v="ORD-1239"/>
    <x v="202"/>
    <x v="1"/>
    <x v="2"/>
    <s v="Paper"/>
    <n v="403.49"/>
    <n v="6"/>
    <n v="8.73"/>
    <x v="1"/>
  </r>
  <r>
    <s v="ORD-1240"/>
    <x v="121"/>
    <x v="1"/>
    <x v="1"/>
    <s v="Chairs"/>
    <n v="87.52"/>
    <n v="1"/>
    <n v="-92.62"/>
    <x v="1"/>
  </r>
  <r>
    <s v="ORD-1241"/>
    <x v="203"/>
    <x v="3"/>
    <x v="1"/>
    <s v="Bookcases"/>
    <n v="574.15"/>
    <n v="3"/>
    <n v="-123.24"/>
    <x v="0"/>
  </r>
  <r>
    <s v="ORD-1242"/>
    <x v="204"/>
    <x v="2"/>
    <x v="2"/>
    <s v="Storage"/>
    <n v="244.14"/>
    <n v="10"/>
    <n v="210"/>
    <x v="0"/>
  </r>
  <r>
    <s v="ORD-1243"/>
    <x v="39"/>
    <x v="1"/>
    <x v="2"/>
    <s v="Binders"/>
    <n v="903"/>
    <n v="3"/>
    <n v="216.81"/>
    <x v="1"/>
  </r>
  <r>
    <s v="ORD-1244"/>
    <x v="205"/>
    <x v="3"/>
    <x v="2"/>
    <s v="Binders"/>
    <n v="434"/>
    <n v="7"/>
    <n v="237.14"/>
    <x v="0"/>
  </r>
  <r>
    <s v="ORD-1245"/>
    <x v="206"/>
    <x v="2"/>
    <x v="2"/>
    <s v="Paper"/>
    <n v="243.91"/>
    <n v="6"/>
    <n v="80.28"/>
    <x v="0"/>
  </r>
  <r>
    <s v="ORD-1246"/>
    <x v="207"/>
    <x v="1"/>
    <x v="2"/>
    <s v="Paper"/>
    <n v="255.62"/>
    <n v="5"/>
    <n v="-19.46"/>
    <x v="0"/>
  </r>
  <r>
    <s v="ORD-1247"/>
    <x v="208"/>
    <x v="3"/>
    <x v="0"/>
    <s v="Accessories"/>
    <n v="288.25"/>
    <n v="6"/>
    <n v="109.73"/>
    <x v="1"/>
  </r>
  <r>
    <s v="ORD-1248"/>
    <x v="209"/>
    <x v="2"/>
    <x v="0"/>
    <s v="Accessories"/>
    <n v="787.26"/>
    <n v="5"/>
    <n v="206.41"/>
    <x v="1"/>
  </r>
  <r>
    <s v="ORD-1249"/>
    <x v="210"/>
    <x v="1"/>
    <x v="0"/>
    <s v="Phones"/>
    <n v="681.48"/>
    <n v="5"/>
    <n v="-81.77"/>
    <x v="1"/>
  </r>
  <r>
    <s v="ORD-1250"/>
    <x v="211"/>
    <x v="1"/>
    <x v="0"/>
    <s v="Phones"/>
    <n v="419.42"/>
    <n v="8"/>
    <n v="275.99"/>
    <x v="0"/>
  </r>
  <r>
    <s v="ORD-1251"/>
    <x v="212"/>
    <x v="2"/>
    <x v="0"/>
    <s v="Accessories"/>
    <n v="870.4"/>
    <n v="2"/>
    <n v="80.84"/>
    <x v="0"/>
  </r>
  <r>
    <s v="ORD-1252"/>
    <x v="185"/>
    <x v="2"/>
    <x v="0"/>
    <s v="Phones"/>
    <n v="794.39"/>
    <n v="5"/>
    <n v="112.83"/>
    <x v="1"/>
  </r>
  <r>
    <s v="ORD-1253"/>
    <x v="213"/>
    <x v="2"/>
    <x v="1"/>
    <s v="Bookcases"/>
    <n v="544.98"/>
    <n v="6"/>
    <n v="208.85"/>
    <x v="0"/>
  </r>
  <r>
    <s v="ORD-1254"/>
    <x v="16"/>
    <x v="0"/>
    <x v="1"/>
    <s v="Tables"/>
    <n v="59.88"/>
    <n v="9"/>
    <n v="-62.28"/>
    <x v="1"/>
  </r>
  <r>
    <s v="ORD-1255"/>
    <x v="214"/>
    <x v="3"/>
    <x v="2"/>
    <s v="Paper"/>
    <n v="648.34"/>
    <n v="1"/>
    <n v="-122.42"/>
    <x v="0"/>
  </r>
  <r>
    <s v="ORD-1256"/>
    <x v="81"/>
    <x v="2"/>
    <x v="2"/>
    <s v="Paper"/>
    <n v="596.5"/>
    <n v="8"/>
    <n v="141.41999999999999"/>
    <x v="0"/>
  </r>
  <r>
    <s v="ORD-1257"/>
    <x v="185"/>
    <x v="1"/>
    <x v="1"/>
    <s v="Bookcases"/>
    <n v="568.53"/>
    <n v="1"/>
    <n v="-63.07"/>
    <x v="1"/>
  </r>
  <r>
    <s v="ORD-1258"/>
    <x v="215"/>
    <x v="0"/>
    <x v="0"/>
    <s v="Accessories"/>
    <n v="368.48"/>
    <n v="4"/>
    <n v="43.26"/>
    <x v="1"/>
  </r>
  <r>
    <s v="ORD-1259"/>
    <x v="216"/>
    <x v="1"/>
    <x v="2"/>
    <s v="Storage"/>
    <n v="391.91"/>
    <n v="4"/>
    <n v="-43.94"/>
    <x v="0"/>
  </r>
  <r>
    <s v="ORD-1260"/>
    <x v="189"/>
    <x v="1"/>
    <x v="1"/>
    <s v="Chairs"/>
    <n v="648.76"/>
    <n v="2"/>
    <n v="19.03"/>
    <x v="0"/>
  </r>
  <r>
    <s v="ORD-1261"/>
    <x v="217"/>
    <x v="2"/>
    <x v="2"/>
    <s v="Storage"/>
    <n v="495.72"/>
    <n v="9"/>
    <n v="215.4"/>
    <x v="0"/>
  </r>
  <r>
    <s v="ORD-1262"/>
    <x v="218"/>
    <x v="3"/>
    <x v="2"/>
    <s v="Binders"/>
    <n v="333.06"/>
    <n v="10"/>
    <n v="-181.3"/>
    <x v="0"/>
  </r>
  <r>
    <s v="ORD-1263"/>
    <x v="219"/>
    <x v="1"/>
    <x v="1"/>
    <s v="Chairs"/>
    <n v="616.21"/>
    <n v="1"/>
    <n v="66.319999999999993"/>
    <x v="0"/>
  </r>
  <r>
    <s v="ORD-1264"/>
    <x v="220"/>
    <x v="1"/>
    <x v="2"/>
    <s v="Paper"/>
    <n v="533.65"/>
    <n v="1"/>
    <n v="293.54000000000002"/>
    <x v="0"/>
  </r>
  <r>
    <s v="ORD-1265"/>
    <x v="221"/>
    <x v="1"/>
    <x v="1"/>
    <s v="Chairs"/>
    <n v="335.84"/>
    <n v="3"/>
    <n v="274.51"/>
    <x v="0"/>
  </r>
  <r>
    <s v="ORD-1266"/>
    <x v="222"/>
    <x v="0"/>
    <x v="2"/>
    <s v="Storage"/>
    <n v="617.24"/>
    <n v="8"/>
    <n v="-65.37"/>
    <x v="0"/>
  </r>
  <r>
    <s v="ORD-1267"/>
    <x v="210"/>
    <x v="1"/>
    <x v="1"/>
    <s v="Tables"/>
    <n v="376.44"/>
    <n v="3"/>
    <n v="-11.32"/>
    <x v="1"/>
  </r>
  <r>
    <s v="ORD-1268"/>
    <x v="223"/>
    <x v="3"/>
    <x v="0"/>
    <s v="Machines"/>
    <n v="625.51"/>
    <n v="8"/>
    <n v="57.8"/>
    <x v="1"/>
  </r>
  <r>
    <s v="ORD-1269"/>
    <x v="64"/>
    <x v="3"/>
    <x v="0"/>
    <s v="Phones"/>
    <n v="264.58999999999997"/>
    <n v="10"/>
    <n v="127.51"/>
    <x v="0"/>
  </r>
  <r>
    <s v="ORD-1270"/>
    <x v="175"/>
    <x v="2"/>
    <x v="2"/>
    <s v="Storage"/>
    <n v="977.11"/>
    <n v="5"/>
    <n v="257.64"/>
    <x v="0"/>
  </r>
  <r>
    <s v="ORD-1271"/>
    <x v="224"/>
    <x v="1"/>
    <x v="0"/>
    <s v="Accessories"/>
    <n v="405.25"/>
    <n v="9"/>
    <n v="-81.52"/>
    <x v="0"/>
  </r>
  <r>
    <s v="ORD-1272"/>
    <x v="30"/>
    <x v="1"/>
    <x v="1"/>
    <s v="Tables"/>
    <n v="121.6"/>
    <n v="3"/>
    <n v="247.53"/>
    <x v="1"/>
  </r>
  <r>
    <s v="ORD-1273"/>
    <x v="225"/>
    <x v="2"/>
    <x v="1"/>
    <s v="Bookcases"/>
    <n v="571.51"/>
    <n v="5"/>
    <n v="263.27"/>
    <x v="0"/>
  </r>
  <r>
    <s v="ORD-1274"/>
    <x v="226"/>
    <x v="3"/>
    <x v="2"/>
    <s v="Binders"/>
    <n v="574.95000000000005"/>
    <n v="3"/>
    <n v="-30.22"/>
    <x v="1"/>
  </r>
  <r>
    <s v="ORD-1275"/>
    <x v="182"/>
    <x v="0"/>
    <x v="1"/>
    <s v="Bookcases"/>
    <n v="374.62"/>
    <n v="9"/>
    <n v="17.37"/>
    <x v="1"/>
  </r>
  <r>
    <s v="ORD-1276"/>
    <x v="227"/>
    <x v="1"/>
    <x v="0"/>
    <s v="Phones"/>
    <n v="36.71"/>
    <n v="2"/>
    <n v="12.83"/>
    <x v="1"/>
  </r>
  <r>
    <s v="ORD-1277"/>
    <x v="176"/>
    <x v="0"/>
    <x v="1"/>
    <s v="Bookcases"/>
    <n v="633.37"/>
    <n v="10"/>
    <n v="-139.82"/>
    <x v="1"/>
  </r>
  <r>
    <s v="ORD-1278"/>
    <x v="228"/>
    <x v="1"/>
    <x v="2"/>
    <s v="Binders"/>
    <n v="979.11"/>
    <n v="5"/>
    <n v="-122.94"/>
    <x v="0"/>
  </r>
  <r>
    <s v="ORD-1279"/>
    <x v="229"/>
    <x v="1"/>
    <x v="1"/>
    <s v="Bookcases"/>
    <n v="112.57"/>
    <n v="2"/>
    <n v="8.0399999999999991"/>
    <x v="0"/>
  </r>
  <r>
    <s v="ORD-1280"/>
    <x v="230"/>
    <x v="1"/>
    <x v="0"/>
    <s v="Accessories"/>
    <n v="870.74"/>
    <n v="9"/>
    <n v="-70.069999999999993"/>
    <x v="0"/>
  </r>
  <r>
    <s v="ORD-1281"/>
    <x v="194"/>
    <x v="3"/>
    <x v="2"/>
    <s v="Binders"/>
    <n v="328.1"/>
    <n v="5"/>
    <n v="86.75"/>
    <x v="1"/>
  </r>
  <r>
    <s v="ORD-1282"/>
    <x v="119"/>
    <x v="0"/>
    <x v="2"/>
    <s v="Binders"/>
    <n v="900.93"/>
    <n v="6"/>
    <n v="45.55"/>
    <x v="0"/>
  </r>
  <r>
    <s v="ORD-1283"/>
    <x v="231"/>
    <x v="2"/>
    <x v="0"/>
    <s v="Machines"/>
    <n v="497.64"/>
    <n v="3"/>
    <n v="186.62"/>
    <x v="0"/>
  </r>
  <r>
    <s v="ORD-1284"/>
    <x v="232"/>
    <x v="1"/>
    <x v="1"/>
    <s v="Bookcases"/>
    <n v="923.74"/>
    <n v="5"/>
    <n v="-34.39"/>
    <x v="0"/>
  </r>
  <r>
    <s v="ORD-1285"/>
    <x v="233"/>
    <x v="1"/>
    <x v="1"/>
    <s v="Bookcases"/>
    <n v="840.54"/>
    <n v="2"/>
    <n v="-39.94"/>
    <x v="1"/>
  </r>
  <r>
    <s v="ORD-1286"/>
    <x v="234"/>
    <x v="0"/>
    <x v="0"/>
    <s v="Accessories"/>
    <n v="135.34"/>
    <n v="3"/>
    <n v="-115.75"/>
    <x v="2"/>
  </r>
  <r>
    <s v="ORD-1287"/>
    <x v="235"/>
    <x v="3"/>
    <x v="0"/>
    <s v="Accessories"/>
    <n v="817.89"/>
    <n v="5"/>
    <n v="-173.06"/>
    <x v="1"/>
  </r>
  <r>
    <s v="ORD-1288"/>
    <x v="192"/>
    <x v="3"/>
    <x v="2"/>
    <s v="Storage"/>
    <n v="396.95"/>
    <n v="10"/>
    <n v="26.95"/>
    <x v="0"/>
  </r>
  <r>
    <s v="ORD-1289"/>
    <x v="61"/>
    <x v="2"/>
    <x v="1"/>
    <s v="Bookcases"/>
    <n v="751.02"/>
    <n v="8"/>
    <n v="220.21"/>
    <x v="0"/>
  </r>
  <r>
    <s v="ORD-1290"/>
    <x v="162"/>
    <x v="1"/>
    <x v="0"/>
    <s v="Phones"/>
    <n v="492.45"/>
    <n v="9"/>
    <n v="-32.25"/>
    <x v="1"/>
  </r>
  <r>
    <s v="ORD-1291"/>
    <x v="236"/>
    <x v="1"/>
    <x v="0"/>
    <s v="Accessories"/>
    <n v="851.84"/>
    <n v="3"/>
    <n v="196.25"/>
    <x v="1"/>
  </r>
  <r>
    <s v="ORD-1292"/>
    <x v="200"/>
    <x v="1"/>
    <x v="1"/>
    <s v="Bookcases"/>
    <n v="482.34"/>
    <n v="1"/>
    <n v="120.03"/>
    <x v="1"/>
  </r>
  <r>
    <s v="ORD-1293"/>
    <x v="237"/>
    <x v="3"/>
    <x v="0"/>
    <s v="Machines"/>
    <n v="85.65"/>
    <n v="1"/>
    <n v="-50.06"/>
    <x v="1"/>
  </r>
  <r>
    <s v="ORD-1294"/>
    <x v="238"/>
    <x v="0"/>
    <x v="0"/>
    <s v="Accessories"/>
    <n v="734.81"/>
    <n v="3"/>
    <n v="71.58"/>
    <x v="1"/>
  </r>
  <r>
    <s v="ORD-1295"/>
    <x v="88"/>
    <x v="0"/>
    <x v="1"/>
    <s v="Bookcases"/>
    <n v="505.7"/>
    <n v="10"/>
    <n v="181.37"/>
    <x v="1"/>
  </r>
  <r>
    <s v="ORD-1296"/>
    <x v="28"/>
    <x v="0"/>
    <x v="2"/>
    <s v="Paper"/>
    <n v="91.76"/>
    <n v="3"/>
    <n v="-64.599999999999994"/>
    <x v="1"/>
  </r>
  <r>
    <s v="ORD-1297"/>
    <x v="122"/>
    <x v="1"/>
    <x v="0"/>
    <s v="Machines"/>
    <n v="903.6"/>
    <n v="8"/>
    <n v="158.56"/>
    <x v="0"/>
  </r>
  <r>
    <s v="ORD-1298"/>
    <x v="239"/>
    <x v="3"/>
    <x v="0"/>
    <s v="Phones"/>
    <n v="948.39"/>
    <n v="10"/>
    <n v="298.08999999999997"/>
    <x v="1"/>
  </r>
  <r>
    <s v="ORD-1299"/>
    <x v="209"/>
    <x v="2"/>
    <x v="1"/>
    <s v="Bookcases"/>
    <n v="992.68"/>
    <n v="10"/>
    <n v="257.20999999999998"/>
    <x v="1"/>
  </r>
  <r>
    <s v="ORD-1300"/>
    <x v="240"/>
    <x v="2"/>
    <x v="2"/>
    <s v="Binders"/>
    <n v="568.9"/>
    <n v="8"/>
    <n v="124.92"/>
    <x v="0"/>
  </r>
  <r>
    <s v="ORD-1301"/>
    <x v="241"/>
    <x v="3"/>
    <x v="2"/>
    <s v="Storage"/>
    <n v="573.11"/>
    <n v="1"/>
    <n v="38.43"/>
    <x v="0"/>
  </r>
  <r>
    <s v="ORD-1302"/>
    <x v="209"/>
    <x v="1"/>
    <x v="2"/>
    <s v="Binders"/>
    <n v="442.37"/>
    <n v="8"/>
    <n v="208.97"/>
    <x v="1"/>
  </r>
  <r>
    <s v="ORD-1303"/>
    <x v="242"/>
    <x v="0"/>
    <x v="2"/>
    <s v="Storage"/>
    <n v="615.4"/>
    <n v="5"/>
    <n v="287.49"/>
    <x v="1"/>
  </r>
  <r>
    <s v="ORD-1304"/>
    <x v="243"/>
    <x v="0"/>
    <x v="0"/>
    <s v="Phones"/>
    <n v="345.82"/>
    <n v="5"/>
    <n v="172.91"/>
    <x v="1"/>
  </r>
  <r>
    <s v="ORD-1305"/>
    <x v="5"/>
    <x v="1"/>
    <x v="1"/>
    <s v="Bookcases"/>
    <n v="545.04999999999995"/>
    <n v="4"/>
    <n v="-163.22"/>
    <x v="1"/>
  </r>
  <r>
    <s v="ORD-1306"/>
    <x v="244"/>
    <x v="3"/>
    <x v="0"/>
    <s v="Phones"/>
    <n v="55.43"/>
    <n v="3"/>
    <n v="-149.57"/>
    <x v="1"/>
  </r>
  <r>
    <s v="ORD-1307"/>
    <x v="224"/>
    <x v="0"/>
    <x v="1"/>
    <s v="Chairs"/>
    <n v="796.81"/>
    <n v="10"/>
    <n v="238.39"/>
    <x v="0"/>
  </r>
  <r>
    <s v="ORD-1308"/>
    <x v="245"/>
    <x v="1"/>
    <x v="2"/>
    <s v="Storage"/>
    <n v="38.729999999999997"/>
    <n v="6"/>
    <n v="-83.95"/>
    <x v="0"/>
  </r>
  <r>
    <s v="ORD-1309"/>
    <x v="246"/>
    <x v="3"/>
    <x v="0"/>
    <s v="Accessories"/>
    <n v="678.18"/>
    <n v="1"/>
    <n v="232.43"/>
    <x v="1"/>
  </r>
  <r>
    <s v="ORD-1310"/>
    <x v="247"/>
    <x v="0"/>
    <x v="1"/>
    <s v="Chairs"/>
    <n v="152.91999999999999"/>
    <n v="3"/>
    <n v="-141.16999999999999"/>
    <x v="0"/>
  </r>
  <r>
    <s v="ORD-1311"/>
    <x v="248"/>
    <x v="2"/>
    <x v="1"/>
    <s v="Bookcases"/>
    <n v="810.25"/>
    <n v="3"/>
    <n v="274.83999999999997"/>
    <x v="1"/>
  </r>
  <r>
    <s v="ORD-1312"/>
    <x v="249"/>
    <x v="3"/>
    <x v="0"/>
    <s v="Phones"/>
    <n v="456.92"/>
    <n v="5"/>
    <n v="244.75"/>
    <x v="1"/>
  </r>
  <r>
    <s v="ORD-1313"/>
    <x v="51"/>
    <x v="1"/>
    <x v="1"/>
    <s v="Tables"/>
    <n v="670.81"/>
    <n v="4"/>
    <n v="-87.34"/>
    <x v="0"/>
  </r>
  <r>
    <s v="ORD-1314"/>
    <x v="250"/>
    <x v="2"/>
    <x v="0"/>
    <s v="Phones"/>
    <n v="863.95"/>
    <n v="3"/>
    <n v="-34.71"/>
    <x v="1"/>
  </r>
  <r>
    <s v="ORD-1315"/>
    <x v="171"/>
    <x v="0"/>
    <x v="0"/>
    <s v="Machines"/>
    <n v="361.42"/>
    <n v="9"/>
    <n v="210.85"/>
    <x v="1"/>
  </r>
  <r>
    <s v="ORD-1316"/>
    <x v="251"/>
    <x v="0"/>
    <x v="1"/>
    <s v="Chairs"/>
    <n v="981.28"/>
    <n v="5"/>
    <n v="110.57"/>
    <x v="1"/>
  </r>
  <r>
    <s v="ORD-1317"/>
    <x v="141"/>
    <x v="0"/>
    <x v="2"/>
    <s v="Storage"/>
    <n v="165.75"/>
    <n v="5"/>
    <n v="35.06"/>
    <x v="0"/>
  </r>
  <r>
    <s v="ORD-1318"/>
    <x v="252"/>
    <x v="0"/>
    <x v="0"/>
    <s v="Phones"/>
    <n v="727.88"/>
    <n v="3"/>
    <n v="-7.02"/>
    <x v="1"/>
  </r>
  <r>
    <s v="ORD-1319"/>
    <x v="253"/>
    <x v="2"/>
    <x v="1"/>
    <s v="Tables"/>
    <n v="41.12"/>
    <n v="9"/>
    <n v="-4.26"/>
    <x v="1"/>
  </r>
  <r>
    <s v="ORD-1320"/>
    <x v="254"/>
    <x v="1"/>
    <x v="1"/>
    <s v="Chairs"/>
    <n v="179.69"/>
    <n v="1"/>
    <n v="-85.79"/>
    <x v="0"/>
  </r>
  <r>
    <s v="ORD-1321"/>
    <x v="172"/>
    <x v="1"/>
    <x v="1"/>
    <s v="Bookcases"/>
    <n v="896.22"/>
    <n v="8"/>
    <n v="-197.63"/>
    <x v="0"/>
  </r>
  <r>
    <s v="ORD-1322"/>
    <x v="255"/>
    <x v="1"/>
    <x v="2"/>
    <s v="Binders"/>
    <n v="653.11"/>
    <n v="6"/>
    <n v="-12.83"/>
    <x v="0"/>
  </r>
  <r>
    <s v="ORD-1323"/>
    <x v="141"/>
    <x v="0"/>
    <x v="2"/>
    <s v="Binders"/>
    <n v="187.7"/>
    <n v="4"/>
    <n v="121.36"/>
    <x v="0"/>
  </r>
  <r>
    <s v="ORD-1324"/>
    <x v="256"/>
    <x v="2"/>
    <x v="2"/>
    <s v="Storage"/>
    <n v="478.09"/>
    <n v="2"/>
    <n v="-117.21"/>
    <x v="1"/>
  </r>
  <r>
    <s v="ORD-1325"/>
    <x v="257"/>
    <x v="1"/>
    <x v="1"/>
    <s v="Tables"/>
    <n v="278.07"/>
    <n v="2"/>
    <n v="-139.5"/>
    <x v="0"/>
  </r>
  <r>
    <s v="ORD-1326"/>
    <x v="258"/>
    <x v="3"/>
    <x v="0"/>
    <s v="Phones"/>
    <n v="931.7"/>
    <n v="7"/>
    <n v="-115.8"/>
    <x v="1"/>
  </r>
  <r>
    <s v="ORD-1327"/>
    <x v="89"/>
    <x v="1"/>
    <x v="1"/>
    <s v="Chairs"/>
    <n v="585.61"/>
    <n v="1"/>
    <n v="-24.45"/>
    <x v="1"/>
  </r>
  <r>
    <s v="ORD-1328"/>
    <x v="259"/>
    <x v="2"/>
    <x v="0"/>
    <s v="Phones"/>
    <n v="973.45"/>
    <n v="2"/>
    <n v="84.5"/>
    <x v="0"/>
  </r>
  <r>
    <s v="ORD-1329"/>
    <x v="260"/>
    <x v="0"/>
    <x v="0"/>
    <s v="Phones"/>
    <n v="502.67"/>
    <n v="1"/>
    <n v="105.74"/>
    <x v="0"/>
  </r>
  <r>
    <s v="ORD-1330"/>
    <x v="99"/>
    <x v="2"/>
    <x v="1"/>
    <s v="Bookcases"/>
    <n v="544.80999999999995"/>
    <n v="1"/>
    <n v="-123.6"/>
    <x v="0"/>
  </r>
  <r>
    <s v="ORD-1331"/>
    <x v="92"/>
    <x v="1"/>
    <x v="2"/>
    <s v="Paper"/>
    <n v="222.43"/>
    <n v="1"/>
    <n v="-34.64"/>
    <x v="0"/>
  </r>
  <r>
    <s v="ORD-1332"/>
    <x v="150"/>
    <x v="1"/>
    <x v="0"/>
    <s v="Phones"/>
    <n v="196.49"/>
    <n v="4"/>
    <n v="14.67"/>
    <x v="0"/>
  </r>
  <r>
    <s v="ORD-1333"/>
    <x v="124"/>
    <x v="3"/>
    <x v="0"/>
    <s v="Accessories"/>
    <n v="60.58"/>
    <n v="6"/>
    <n v="-151.71"/>
    <x v="0"/>
  </r>
  <r>
    <s v="ORD-1334"/>
    <x v="261"/>
    <x v="0"/>
    <x v="2"/>
    <s v="Binders"/>
    <n v="494.69"/>
    <n v="8"/>
    <n v="100.88"/>
    <x v="1"/>
  </r>
  <r>
    <s v="ORD-1335"/>
    <x v="262"/>
    <x v="2"/>
    <x v="0"/>
    <s v="Accessories"/>
    <n v="699.21"/>
    <n v="8"/>
    <n v="239.44"/>
    <x v="1"/>
  </r>
  <r>
    <s v="ORD-1336"/>
    <x v="43"/>
    <x v="0"/>
    <x v="2"/>
    <s v="Storage"/>
    <n v="661.53"/>
    <n v="2"/>
    <n v="75.44"/>
    <x v="0"/>
  </r>
  <r>
    <s v="ORD-1337"/>
    <x v="263"/>
    <x v="3"/>
    <x v="0"/>
    <s v="Accessories"/>
    <n v="739.89"/>
    <n v="2"/>
    <n v="133.34"/>
    <x v="1"/>
  </r>
  <r>
    <s v="ORD-1338"/>
    <x v="242"/>
    <x v="1"/>
    <x v="0"/>
    <s v="Machines"/>
    <n v="967.11"/>
    <n v="2"/>
    <n v="188.37"/>
    <x v="1"/>
  </r>
  <r>
    <s v="ORD-1339"/>
    <x v="264"/>
    <x v="1"/>
    <x v="0"/>
    <s v="Machines"/>
    <n v="887.97"/>
    <n v="4"/>
    <n v="257.23"/>
    <x v="1"/>
  </r>
  <r>
    <s v="ORD-1340"/>
    <x v="265"/>
    <x v="0"/>
    <x v="0"/>
    <s v="Phones"/>
    <n v="985.71"/>
    <n v="4"/>
    <n v="65.650000000000006"/>
    <x v="0"/>
  </r>
  <r>
    <s v="ORD-1341"/>
    <x v="212"/>
    <x v="3"/>
    <x v="1"/>
    <s v="Bookcases"/>
    <n v="282.94"/>
    <n v="9"/>
    <n v="192.95"/>
    <x v="0"/>
  </r>
  <r>
    <s v="ORD-1342"/>
    <x v="245"/>
    <x v="3"/>
    <x v="0"/>
    <s v="Accessories"/>
    <n v="377.25"/>
    <n v="3"/>
    <n v="-54.13"/>
    <x v="0"/>
  </r>
  <r>
    <s v="ORD-1343"/>
    <x v="266"/>
    <x v="0"/>
    <x v="0"/>
    <s v="Machines"/>
    <n v="600.96"/>
    <n v="5"/>
    <n v="199.43"/>
    <x v="1"/>
  </r>
  <r>
    <s v="ORD-1344"/>
    <x v="267"/>
    <x v="2"/>
    <x v="2"/>
    <s v="Binders"/>
    <n v="130.57"/>
    <n v="5"/>
    <n v="-113.7"/>
    <x v="0"/>
  </r>
  <r>
    <s v="ORD-1345"/>
    <x v="6"/>
    <x v="1"/>
    <x v="0"/>
    <s v="Machines"/>
    <n v="202.82"/>
    <n v="9"/>
    <n v="295.63"/>
    <x v="0"/>
  </r>
  <r>
    <s v="ORD-1346"/>
    <x v="35"/>
    <x v="1"/>
    <x v="1"/>
    <s v="Chairs"/>
    <n v="265.49"/>
    <n v="7"/>
    <n v="142.82"/>
    <x v="0"/>
  </r>
  <r>
    <s v="ORD-1347"/>
    <x v="268"/>
    <x v="0"/>
    <x v="2"/>
    <s v="Paper"/>
    <n v="676.49"/>
    <n v="4"/>
    <n v="-39.04"/>
    <x v="1"/>
  </r>
  <r>
    <s v="ORD-1348"/>
    <x v="269"/>
    <x v="2"/>
    <x v="2"/>
    <s v="Binders"/>
    <n v="863.91"/>
    <n v="8"/>
    <n v="13.35"/>
    <x v="0"/>
  </r>
  <r>
    <s v="ORD-1349"/>
    <x v="270"/>
    <x v="2"/>
    <x v="2"/>
    <s v="Binders"/>
    <n v="729.26"/>
    <n v="9"/>
    <n v="-164.05"/>
    <x v="0"/>
  </r>
  <r>
    <s v="ORD-1350"/>
    <x v="271"/>
    <x v="3"/>
    <x v="2"/>
    <s v="Binders"/>
    <n v="234.27"/>
    <n v="9"/>
    <n v="49.96"/>
    <x v="1"/>
  </r>
  <r>
    <s v="ORD-1351"/>
    <x v="246"/>
    <x v="1"/>
    <x v="2"/>
    <s v="Binders"/>
    <n v="580.09"/>
    <n v="3"/>
    <n v="181.68"/>
    <x v="1"/>
  </r>
  <r>
    <s v="ORD-1352"/>
    <x v="272"/>
    <x v="1"/>
    <x v="2"/>
    <s v="Binders"/>
    <n v="188.47"/>
    <n v="6"/>
    <n v="41.92"/>
    <x v="0"/>
  </r>
  <r>
    <s v="ORD-1353"/>
    <x v="273"/>
    <x v="1"/>
    <x v="0"/>
    <s v="Accessories"/>
    <n v="936.63"/>
    <n v="2"/>
    <n v="-17.920000000000002"/>
    <x v="0"/>
  </r>
  <r>
    <s v="ORD-1354"/>
    <x v="274"/>
    <x v="2"/>
    <x v="1"/>
    <s v="Chairs"/>
    <n v="607.65"/>
    <n v="2"/>
    <n v="-48.37"/>
    <x v="0"/>
  </r>
  <r>
    <s v="ORD-1355"/>
    <x v="87"/>
    <x v="3"/>
    <x v="1"/>
    <s v="Bookcases"/>
    <n v="392.53"/>
    <n v="5"/>
    <n v="77.739999999999995"/>
    <x v="0"/>
  </r>
  <r>
    <s v="ORD-1356"/>
    <x v="275"/>
    <x v="1"/>
    <x v="1"/>
    <s v="Chairs"/>
    <n v="99.83"/>
    <n v="9"/>
    <n v="155.91999999999999"/>
    <x v="1"/>
  </r>
  <r>
    <s v="ORD-1357"/>
    <x v="143"/>
    <x v="2"/>
    <x v="2"/>
    <s v="Paper"/>
    <n v="737.36"/>
    <n v="10"/>
    <n v="-100.99"/>
    <x v="0"/>
  </r>
  <r>
    <s v="ORD-1358"/>
    <x v="242"/>
    <x v="1"/>
    <x v="0"/>
    <s v="Phones"/>
    <n v="847.57"/>
    <n v="5"/>
    <n v="-189.44"/>
    <x v="1"/>
  </r>
  <r>
    <s v="ORD-1359"/>
    <x v="276"/>
    <x v="1"/>
    <x v="0"/>
    <s v="Machines"/>
    <n v="376.54"/>
    <n v="6"/>
    <n v="-96.6"/>
    <x v="1"/>
  </r>
  <r>
    <s v="ORD-1360"/>
    <x v="277"/>
    <x v="2"/>
    <x v="2"/>
    <s v="Paper"/>
    <n v="92.25"/>
    <n v="10"/>
    <n v="196.76"/>
    <x v="0"/>
  </r>
  <r>
    <s v="ORD-1361"/>
    <x v="278"/>
    <x v="1"/>
    <x v="2"/>
    <s v="Storage"/>
    <n v="392.16"/>
    <n v="3"/>
    <n v="-186.59"/>
    <x v="0"/>
  </r>
  <r>
    <s v="ORD-1362"/>
    <x v="279"/>
    <x v="1"/>
    <x v="1"/>
    <s v="Chairs"/>
    <n v="832.63"/>
    <n v="9"/>
    <n v="-65.17"/>
    <x v="0"/>
  </r>
  <r>
    <s v="ORD-1363"/>
    <x v="280"/>
    <x v="1"/>
    <x v="1"/>
    <s v="Chairs"/>
    <n v="624.33000000000004"/>
    <n v="2"/>
    <n v="-53.72"/>
    <x v="1"/>
  </r>
  <r>
    <s v="ORD-1364"/>
    <x v="120"/>
    <x v="1"/>
    <x v="2"/>
    <s v="Binders"/>
    <n v="200.09"/>
    <n v="4"/>
    <n v="7.6"/>
    <x v="0"/>
  </r>
  <r>
    <s v="ORD-1365"/>
    <x v="250"/>
    <x v="1"/>
    <x v="1"/>
    <s v="Bookcases"/>
    <n v="759.33"/>
    <n v="10"/>
    <n v="-169.92"/>
    <x v="1"/>
  </r>
  <r>
    <s v="ORD-1366"/>
    <x v="281"/>
    <x v="2"/>
    <x v="2"/>
    <s v="Paper"/>
    <n v="313.39"/>
    <n v="5"/>
    <n v="48.11"/>
    <x v="0"/>
  </r>
  <r>
    <s v="ORD-1367"/>
    <x v="129"/>
    <x v="3"/>
    <x v="0"/>
    <s v="Phones"/>
    <n v="964.51"/>
    <n v="9"/>
    <n v="-150.78"/>
    <x v="1"/>
  </r>
  <r>
    <s v="ORD-1368"/>
    <x v="129"/>
    <x v="0"/>
    <x v="1"/>
    <s v="Chairs"/>
    <n v="141.38"/>
    <n v="4"/>
    <n v="68.27"/>
    <x v="1"/>
  </r>
  <r>
    <s v="ORD-1369"/>
    <x v="282"/>
    <x v="1"/>
    <x v="1"/>
    <s v="Chairs"/>
    <n v="503.26"/>
    <n v="4"/>
    <n v="218.57"/>
    <x v="1"/>
  </r>
  <r>
    <s v="ORD-1370"/>
    <x v="283"/>
    <x v="1"/>
    <x v="2"/>
    <s v="Binders"/>
    <n v="838.82"/>
    <n v="2"/>
    <n v="-30.23"/>
    <x v="0"/>
  </r>
  <r>
    <s v="ORD-1371"/>
    <x v="284"/>
    <x v="2"/>
    <x v="0"/>
    <s v="Machines"/>
    <n v="840.95"/>
    <n v="2"/>
    <n v="173.09"/>
    <x v="1"/>
  </r>
  <r>
    <s v="ORD-1372"/>
    <x v="285"/>
    <x v="3"/>
    <x v="0"/>
    <s v="Accessories"/>
    <n v="919.34"/>
    <n v="1"/>
    <n v="108.82"/>
    <x v="1"/>
  </r>
  <r>
    <s v="ORD-1373"/>
    <x v="286"/>
    <x v="2"/>
    <x v="0"/>
    <s v="Accessories"/>
    <n v="203.78"/>
    <n v="6"/>
    <n v="90.13"/>
    <x v="0"/>
  </r>
  <r>
    <s v="ORD-1374"/>
    <x v="180"/>
    <x v="3"/>
    <x v="2"/>
    <s v="Binders"/>
    <n v="554.01"/>
    <n v="3"/>
    <n v="43.13"/>
    <x v="1"/>
  </r>
  <r>
    <s v="ORD-1375"/>
    <x v="98"/>
    <x v="3"/>
    <x v="2"/>
    <s v="Paper"/>
    <n v="755.21"/>
    <n v="10"/>
    <n v="248.34"/>
    <x v="1"/>
  </r>
  <r>
    <s v="ORD-1376"/>
    <x v="116"/>
    <x v="0"/>
    <x v="1"/>
    <s v="Bookcases"/>
    <n v="73.63"/>
    <n v="6"/>
    <n v="-78.239999999999995"/>
    <x v="1"/>
  </r>
  <r>
    <s v="ORD-1377"/>
    <x v="104"/>
    <x v="0"/>
    <x v="0"/>
    <s v="Machines"/>
    <n v="792.56"/>
    <n v="8"/>
    <n v="125.13"/>
    <x v="1"/>
  </r>
  <r>
    <s v="ORD-1378"/>
    <x v="186"/>
    <x v="0"/>
    <x v="1"/>
    <s v="Tables"/>
    <n v="971.19"/>
    <n v="1"/>
    <n v="-140.15"/>
    <x v="1"/>
  </r>
  <r>
    <s v="ORD-1379"/>
    <x v="146"/>
    <x v="0"/>
    <x v="1"/>
    <s v="Tables"/>
    <n v="816.71"/>
    <n v="7"/>
    <n v="-199.08"/>
    <x v="0"/>
  </r>
  <r>
    <s v="ORD-1380"/>
    <x v="287"/>
    <x v="1"/>
    <x v="1"/>
    <s v="Tables"/>
    <n v="884.68"/>
    <n v="1"/>
    <n v="-155.19999999999999"/>
    <x v="0"/>
  </r>
  <r>
    <s v="ORD-1381"/>
    <x v="219"/>
    <x v="3"/>
    <x v="1"/>
    <s v="Bookcases"/>
    <n v="279.44"/>
    <n v="5"/>
    <n v="-64.94"/>
    <x v="0"/>
  </r>
  <r>
    <s v="ORD-1382"/>
    <x v="222"/>
    <x v="0"/>
    <x v="1"/>
    <s v="Tables"/>
    <n v="203.03"/>
    <n v="1"/>
    <n v="62.12"/>
    <x v="0"/>
  </r>
  <r>
    <s v="ORD-1383"/>
    <x v="268"/>
    <x v="0"/>
    <x v="0"/>
    <s v="Accessories"/>
    <n v="708.59"/>
    <n v="1"/>
    <n v="37.9"/>
    <x v="1"/>
  </r>
  <r>
    <s v="ORD-1384"/>
    <x v="288"/>
    <x v="3"/>
    <x v="2"/>
    <s v="Binders"/>
    <n v="184.01"/>
    <n v="8"/>
    <n v="-56.48"/>
    <x v="1"/>
  </r>
  <r>
    <s v="ORD-1385"/>
    <x v="86"/>
    <x v="1"/>
    <x v="1"/>
    <s v="Tables"/>
    <n v="148.28"/>
    <n v="4"/>
    <n v="250.44"/>
    <x v="1"/>
  </r>
  <r>
    <s v="ORD-1386"/>
    <x v="289"/>
    <x v="2"/>
    <x v="0"/>
    <s v="Accessories"/>
    <n v="693.52"/>
    <n v="1"/>
    <n v="-158.85"/>
    <x v="0"/>
  </r>
  <r>
    <s v="ORD-1387"/>
    <x v="86"/>
    <x v="0"/>
    <x v="2"/>
    <s v="Paper"/>
    <n v="995.95"/>
    <n v="8"/>
    <n v="-98.66"/>
    <x v="1"/>
  </r>
  <r>
    <s v="ORD-1388"/>
    <x v="290"/>
    <x v="1"/>
    <x v="1"/>
    <s v="Tables"/>
    <n v="549.14"/>
    <n v="4"/>
    <n v="-184.68"/>
    <x v="0"/>
  </r>
  <r>
    <s v="ORD-1389"/>
    <x v="291"/>
    <x v="2"/>
    <x v="1"/>
    <s v="Tables"/>
    <n v="345.04"/>
    <n v="7"/>
    <n v="176.17"/>
    <x v="1"/>
  </r>
  <r>
    <s v="ORD-1390"/>
    <x v="209"/>
    <x v="3"/>
    <x v="2"/>
    <s v="Binders"/>
    <n v="207.86"/>
    <n v="2"/>
    <n v="209.2"/>
    <x v="1"/>
  </r>
  <r>
    <s v="ORD-1391"/>
    <x v="12"/>
    <x v="1"/>
    <x v="1"/>
    <s v="Chairs"/>
    <n v="557.69000000000005"/>
    <n v="3"/>
    <n v="200.47"/>
    <x v="0"/>
  </r>
  <r>
    <s v="ORD-1392"/>
    <x v="149"/>
    <x v="0"/>
    <x v="0"/>
    <s v="Phones"/>
    <n v="859.6"/>
    <n v="5"/>
    <n v="-96.37"/>
    <x v="0"/>
  </r>
  <r>
    <s v="ORD-1393"/>
    <x v="292"/>
    <x v="3"/>
    <x v="2"/>
    <s v="Paper"/>
    <n v="148.04"/>
    <n v="1"/>
    <n v="293.51"/>
    <x v="1"/>
  </r>
  <r>
    <s v="ORD-1394"/>
    <x v="293"/>
    <x v="3"/>
    <x v="2"/>
    <s v="Paper"/>
    <n v="368.35"/>
    <n v="6"/>
    <n v="144.29"/>
    <x v="0"/>
  </r>
  <r>
    <s v="ORD-1395"/>
    <x v="294"/>
    <x v="1"/>
    <x v="1"/>
    <s v="Tables"/>
    <n v="226.94"/>
    <n v="1"/>
    <n v="62.81"/>
    <x v="0"/>
  </r>
  <r>
    <s v="ORD-1396"/>
    <x v="47"/>
    <x v="3"/>
    <x v="0"/>
    <s v="Machines"/>
    <n v="772.59"/>
    <n v="10"/>
    <n v="37.380000000000003"/>
    <x v="1"/>
  </r>
  <r>
    <s v="ORD-1397"/>
    <x v="43"/>
    <x v="0"/>
    <x v="1"/>
    <s v="Chairs"/>
    <n v="595.11"/>
    <n v="10"/>
    <n v="112.56"/>
    <x v="0"/>
  </r>
  <r>
    <s v="ORD-1398"/>
    <x v="295"/>
    <x v="0"/>
    <x v="2"/>
    <s v="Storage"/>
    <n v="958.55"/>
    <n v="7"/>
    <n v="-81.28"/>
    <x v="0"/>
  </r>
  <r>
    <s v="ORD-1399"/>
    <x v="296"/>
    <x v="0"/>
    <x v="1"/>
    <s v="Chairs"/>
    <n v="337.57"/>
    <n v="3"/>
    <n v="-23.79"/>
    <x v="1"/>
  </r>
  <r>
    <s v="ORD-1400"/>
    <x v="297"/>
    <x v="1"/>
    <x v="1"/>
    <s v="Tables"/>
    <n v="648.29"/>
    <n v="4"/>
    <n v="0.84"/>
    <x v="0"/>
  </r>
  <r>
    <s v="ORD-1401"/>
    <x v="298"/>
    <x v="0"/>
    <x v="1"/>
    <s v="Bookcases"/>
    <n v="889.77"/>
    <n v="8"/>
    <n v="109.94"/>
    <x v="0"/>
  </r>
  <r>
    <s v="ORD-1402"/>
    <x v="165"/>
    <x v="2"/>
    <x v="2"/>
    <s v="Storage"/>
    <n v="812.16"/>
    <n v="2"/>
    <n v="115.93"/>
    <x v="0"/>
  </r>
  <r>
    <s v="ORD-1403"/>
    <x v="299"/>
    <x v="2"/>
    <x v="0"/>
    <s v="Accessories"/>
    <n v="931.56"/>
    <n v="10"/>
    <n v="-38.26"/>
    <x v="1"/>
  </r>
  <r>
    <s v="ORD-1404"/>
    <x v="300"/>
    <x v="3"/>
    <x v="0"/>
    <s v="Accessories"/>
    <n v="549.28"/>
    <n v="10"/>
    <n v="157.79"/>
    <x v="0"/>
  </r>
  <r>
    <s v="ORD-1405"/>
    <x v="301"/>
    <x v="0"/>
    <x v="2"/>
    <s v="Binders"/>
    <n v="757.97"/>
    <n v="1"/>
    <n v="-191.58"/>
    <x v="1"/>
  </r>
  <r>
    <s v="ORD-1406"/>
    <x v="302"/>
    <x v="3"/>
    <x v="2"/>
    <s v="Paper"/>
    <n v="933.56"/>
    <n v="3"/>
    <n v="79"/>
    <x v="1"/>
  </r>
  <r>
    <s v="ORD-1407"/>
    <x v="303"/>
    <x v="3"/>
    <x v="2"/>
    <s v="Binders"/>
    <n v="733.48"/>
    <n v="10"/>
    <n v="-168.09"/>
    <x v="1"/>
  </r>
  <r>
    <s v="ORD-1408"/>
    <x v="304"/>
    <x v="3"/>
    <x v="2"/>
    <s v="Binders"/>
    <n v="31.83"/>
    <n v="8"/>
    <n v="109.2"/>
    <x v="0"/>
  </r>
  <r>
    <s v="ORD-1409"/>
    <x v="305"/>
    <x v="1"/>
    <x v="0"/>
    <s v="Phones"/>
    <n v="556.46"/>
    <n v="3"/>
    <n v="-85.87"/>
    <x v="1"/>
  </r>
  <r>
    <s v="ORD-1410"/>
    <x v="306"/>
    <x v="3"/>
    <x v="0"/>
    <s v="Machines"/>
    <n v="450.46"/>
    <n v="6"/>
    <n v="-167.12"/>
    <x v="0"/>
  </r>
  <r>
    <s v="ORD-1411"/>
    <x v="78"/>
    <x v="0"/>
    <x v="1"/>
    <s v="Chairs"/>
    <n v="779.3"/>
    <n v="5"/>
    <n v="286.07"/>
    <x v="1"/>
  </r>
  <r>
    <s v="ORD-1412"/>
    <x v="155"/>
    <x v="1"/>
    <x v="0"/>
    <s v="Machines"/>
    <n v="324.88"/>
    <n v="3"/>
    <n v="21.31"/>
    <x v="1"/>
  </r>
  <r>
    <s v="ORD-1413"/>
    <x v="177"/>
    <x v="3"/>
    <x v="0"/>
    <s v="Phones"/>
    <n v="279.67"/>
    <n v="10"/>
    <n v="32.56"/>
    <x v="0"/>
  </r>
  <r>
    <s v="ORD-1414"/>
    <x v="307"/>
    <x v="0"/>
    <x v="1"/>
    <s v="Tables"/>
    <n v="606.77"/>
    <n v="5"/>
    <n v="-105.98"/>
    <x v="1"/>
  </r>
  <r>
    <s v="ORD-1415"/>
    <x v="308"/>
    <x v="1"/>
    <x v="0"/>
    <s v="Machines"/>
    <n v="706.9"/>
    <n v="8"/>
    <n v="154.86000000000001"/>
    <x v="0"/>
  </r>
  <r>
    <s v="ORD-1416"/>
    <x v="309"/>
    <x v="3"/>
    <x v="1"/>
    <s v="Bookcases"/>
    <n v="974.03"/>
    <n v="9"/>
    <n v="-71.319999999999993"/>
    <x v="0"/>
  </r>
  <r>
    <s v="ORD-1417"/>
    <x v="225"/>
    <x v="2"/>
    <x v="1"/>
    <s v="Chairs"/>
    <n v="181.85"/>
    <n v="6"/>
    <n v="251.95"/>
    <x v="0"/>
  </r>
  <r>
    <s v="ORD-1418"/>
    <x v="280"/>
    <x v="3"/>
    <x v="1"/>
    <s v="Bookcases"/>
    <n v="162.51"/>
    <n v="1"/>
    <n v="293.76"/>
    <x v="1"/>
  </r>
  <r>
    <s v="ORD-1419"/>
    <x v="19"/>
    <x v="1"/>
    <x v="0"/>
    <s v="Accessories"/>
    <n v="456.87"/>
    <n v="10"/>
    <n v="52.42"/>
    <x v="0"/>
  </r>
  <r>
    <s v="ORD-1420"/>
    <x v="310"/>
    <x v="1"/>
    <x v="2"/>
    <s v="Paper"/>
    <n v="914.34"/>
    <n v="5"/>
    <n v="294.72000000000003"/>
    <x v="0"/>
  </r>
  <r>
    <s v="ORD-1421"/>
    <x v="119"/>
    <x v="2"/>
    <x v="1"/>
    <s v="Tables"/>
    <n v="179.67"/>
    <n v="5"/>
    <n v="-190.14"/>
    <x v="0"/>
  </r>
  <r>
    <s v="ORD-1422"/>
    <x v="311"/>
    <x v="0"/>
    <x v="2"/>
    <s v="Paper"/>
    <n v="887.92"/>
    <n v="10"/>
    <n v="60.74"/>
    <x v="1"/>
  </r>
  <r>
    <s v="ORD-1423"/>
    <x v="312"/>
    <x v="1"/>
    <x v="2"/>
    <s v="Storage"/>
    <n v="945.19"/>
    <n v="5"/>
    <n v="-148.16"/>
    <x v="0"/>
  </r>
  <r>
    <s v="ORD-1424"/>
    <x v="92"/>
    <x v="2"/>
    <x v="1"/>
    <s v="Tables"/>
    <n v="81.88"/>
    <n v="9"/>
    <n v="69.23"/>
    <x v="0"/>
  </r>
  <r>
    <s v="ORD-1425"/>
    <x v="313"/>
    <x v="2"/>
    <x v="0"/>
    <s v="Machines"/>
    <n v="964.57"/>
    <n v="7"/>
    <n v="214.81"/>
    <x v="1"/>
  </r>
  <r>
    <s v="ORD-1426"/>
    <x v="314"/>
    <x v="0"/>
    <x v="0"/>
    <s v="Accessories"/>
    <n v="515.77"/>
    <n v="6"/>
    <n v="234.66"/>
    <x v="0"/>
  </r>
  <r>
    <s v="ORD-1427"/>
    <x v="315"/>
    <x v="3"/>
    <x v="2"/>
    <s v="Paper"/>
    <n v="116.57"/>
    <n v="4"/>
    <n v="205.38"/>
    <x v="1"/>
  </r>
  <r>
    <s v="ORD-1428"/>
    <x v="306"/>
    <x v="2"/>
    <x v="0"/>
    <s v="Machines"/>
    <n v="262.24"/>
    <n v="7"/>
    <n v="246.13"/>
    <x v="0"/>
  </r>
  <r>
    <s v="ORD-1429"/>
    <x v="316"/>
    <x v="0"/>
    <x v="1"/>
    <s v="Bookcases"/>
    <n v="920.56"/>
    <n v="3"/>
    <n v="21.79"/>
    <x v="1"/>
  </r>
  <r>
    <s v="ORD-1430"/>
    <x v="63"/>
    <x v="1"/>
    <x v="2"/>
    <s v="Binders"/>
    <n v="925.09"/>
    <n v="2"/>
    <n v="12.5"/>
    <x v="0"/>
  </r>
  <r>
    <s v="ORD-1431"/>
    <x v="317"/>
    <x v="2"/>
    <x v="2"/>
    <s v="Storage"/>
    <n v="696.88"/>
    <n v="8"/>
    <n v="113.29"/>
    <x v="1"/>
  </r>
  <r>
    <s v="ORD-1432"/>
    <x v="257"/>
    <x v="2"/>
    <x v="2"/>
    <s v="Paper"/>
    <n v="599.25"/>
    <n v="8"/>
    <n v="235.13"/>
    <x v="0"/>
  </r>
  <r>
    <s v="ORD-1433"/>
    <x v="78"/>
    <x v="0"/>
    <x v="1"/>
    <s v="Bookcases"/>
    <n v="506.47"/>
    <n v="10"/>
    <n v="-8.84"/>
    <x v="1"/>
  </r>
  <r>
    <s v="ORD-1434"/>
    <x v="318"/>
    <x v="2"/>
    <x v="1"/>
    <s v="Chairs"/>
    <n v="371.12"/>
    <n v="9"/>
    <n v="154.15"/>
    <x v="0"/>
  </r>
  <r>
    <s v="ORD-1435"/>
    <x v="319"/>
    <x v="3"/>
    <x v="2"/>
    <s v="Storage"/>
    <n v="566.30999999999995"/>
    <n v="8"/>
    <n v="-42.71"/>
    <x v="1"/>
  </r>
  <r>
    <s v="ORD-1436"/>
    <x v="296"/>
    <x v="0"/>
    <x v="0"/>
    <s v="Accessories"/>
    <n v="336.7"/>
    <n v="1"/>
    <n v="286.2"/>
    <x v="1"/>
  </r>
  <r>
    <s v="ORD-1437"/>
    <x v="320"/>
    <x v="0"/>
    <x v="0"/>
    <s v="Machines"/>
    <n v="647.54"/>
    <n v="4"/>
    <n v="177.82"/>
    <x v="0"/>
  </r>
  <r>
    <s v="ORD-1438"/>
    <x v="229"/>
    <x v="1"/>
    <x v="0"/>
    <s v="Machines"/>
    <n v="63.64"/>
    <n v="10"/>
    <n v="151.34"/>
    <x v="0"/>
  </r>
  <r>
    <s v="ORD-1439"/>
    <x v="321"/>
    <x v="3"/>
    <x v="1"/>
    <s v="Chairs"/>
    <n v="687.74"/>
    <n v="4"/>
    <n v="-39.409999999999997"/>
    <x v="0"/>
  </r>
  <r>
    <s v="ORD-1440"/>
    <x v="322"/>
    <x v="2"/>
    <x v="0"/>
    <s v="Phones"/>
    <n v="852.71"/>
    <n v="8"/>
    <n v="-54.38"/>
    <x v="0"/>
  </r>
  <r>
    <s v="ORD-1441"/>
    <x v="323"/>
    <x v="1"/>
    <x v="0"/>
    <s v="Phones"/>
    <n v="413.88"/>
    <n v="5"/>
    <n v="183.04"/>
    <x v="1"/>
  </r>
  <r>
    <s v="ORD-1442"/>
    <x v="59"/>
    <x v="2"/>
    <x v="0"/>
    <s v="Phones"/>
    <n v="421.56"/>
    <n v="10"/>
    <n v="68.849999999999994"/>
    <x v="1"/>
  </r>
  <r>
    <s v="ORD-1443"/>
    <x v="41"/>
    <x v="3"/>
    <x v="2"/>
    <s v="Storage"/>
    <n v="130.07"/>
    <n v="7"/>
    <n v="256.58999999999997"/>
    <x v="0"/>
  </r>
  <r>
    <s v="ORD-1444"/>
    <x v="324"/>
    <x v="1"/>
    <x v="1"/>
    <s v="Bookcases"/>
    <n v="57.7"/>
    <n v="3"/>
    <n v="-33.21"/>
    <x v="0"/>
  </r>
  <r>
    <s v="ORD-1445"/>
    <x v="12"/>
    <x v="3"/>
    <x v="1"/>
    <s v="Bookcases"/>
    <n v="806.54"/>
    <n v="10"/>
    <n v="141.44"/>
    <x v="0"/>
  </r>
  <r>
    <s v="ORD-1446"/>
    <x v="312"/>
    <x v="0"/>
    <x v="1"/>
    <s v="Chairs"/>
    <n v="319.81"/>
    <n v="2"/>
    <n v="-162.41"/>
    <x v="0"/>
  </r>
  <r>
    <s v="ORD-1447"/>
    <x v="139"/>
    <x v="3"/>
    <x v="2"/>
    <s v="Storage"/>
    <n v="39.950000000000003"/>
    <n v="9"/>
    <n v="238.5"/>
    <x v="0"/>
  </r>
  <r>
    <s v="ORD-1448"/>
    <x v="325"/>
    <x v="0"/>
    <x v="0"/>
    <s v="Machines"/>
    <n v="384.88"/>
    <n v="10"/>
    <n v="-76.72"/>
    <x v="1"/>
  </r>
  <r>
    <s v="ORD-1449"/>
    <x v="306"/>
    <x v="2"/>
    <x v="0"/>
    <s v="Machines"/>
    <n v="573.05999999999995"/>
    <n v="8"/>
    <n v="-181.08"/>
    <x v="0"/>
  </r>
  <r>
    <s v="ORD-1450"/>
    <x v="141"/>
    <x v="2"/>
    <x v="0"/>
    <s v="Accessories"/>
    <n v="216.31"/>
    <n v="5"/>
    <n v="91.34"/>
    <x v="0"/>
  </r>
  <r>
    <s v="ORD-1451"/>
    <x v="326"/>
    <x v="0"/>
    <x v="1"/>
    <s v="Tables"/>
    <n v="231.14"/>
    <n v="5"/>
    <n v="-63"/>
    <x v="0"/>
  </r>
  <r>
    <s v="ORD-1452"/>
    <x v="327"/>
    <x v="1"/>
    <x v="0"/>
    <s v="Machines"/>
    <n v="621.92999999999995"/>
    <n v="5"/>
    <n v="109.05"/>
    <x v="0"/>
  </r>
  <r>
    <s v="ORD-1453"/>
    <x v="328"/>
    <x v="0"/>
    <x v="1"/>
    <s v="Tables"/>
    <n v="474.47"/>
    <n v="6"/>
    <n v="68.3"/>
    <x v="1"/>
  </r>
  <r>
    <s v="ORD-1454"/>
    <x v="329"/>
    <x v="1"/>
    <x v="1"/>
    <s v="Chairs"/>
    <n v="447.54"/>
    <n v="9"/>
    <n v="71.19"/>
    <x v="0"/>
  </r>
  <r>
    <s v="ORD-1455"/>
    <x v="256"/>
    <x v="3"/>
    <x v="0"/>
    <s v="Accessories"/>
    <n v="956.24"/>
    <n v="6"/>
    <n v="91.87"/>
    <x v="1"/>
  </r>
  <r>
    <s v="ORD-1456"/>
    <x v="330"/>
    <x v="1"/>
    <x v="2"/>
    <s v="Storage"/>
    <n v="702.05"/>
    <n v="8"/>
    <n v="171.78"/>
    <x v="0"/>
  </r>
  <r>
    <s v="ORD-1457"/>
    <x v="331"/>
    <x v="0"/>
    <x v="1"/>
    <s v="Bookcases"/>
    <n v="209.95"/>
    <n v="5"/>
    <n v="202.55"/>
    <x v="0"/>
  </r>
  <r>
    <s v="ORD-1458"/>
    <x v="230"/>
    <x v="1"/>
    <x v="2"/>
    <s v="Paper"/>
    <n v="245.29"/>
    <n v="10"/>
    <n v="-56.15"/>
    <x v="0"/>
  </r>
  <r>
    <s v="ORD-1459"/>
    <x v="32"/>
    <x v="2"/>
    <x v="2"/>
    <s v="Storage"/>
    <n v="106.11"/>
    <n v="1"/>
    <n v="97.81"/>
    <x v="0"/>
  </r>
  <r>
    <s v="ORD-1460"/>
    <x v="143"/>
    <x v="1"/>
    <x v="2"/>
    <s v="Binders"/>
    <n v="116.49"/>
    <n v="6"/>
    <n v="114.72"/>
    <x v="0"/>
  </r>
  <r>
    <s v="ORD-1461"/>
    <x v="84"/>
    <x v="3"/>
    <x v="2"/>
    <s v="Storage"/>
    <n v="898"/>
    <n v="5"/>
    <n v="-83.14"/>
    <x v="0"/>
  </r>
  <r>
    <s v="ORD-1462"/>
    <x v="330"/>
    <x v="2"/>
    <x v="1"/>
    <s v="Bookcases"/>
    <n v="920.87"/>
    <n v="5"/>
    <n v="101.97"/>
    <x v="0"/>
  </r>
  <r>
    <s v="ORD-1463"/>
    <x v="332"/>
    <x v="2"/>
    <x v="1"/>
    <s v="Tables"/>
    <n v="834.02"/>
    <n v="5"/>
    <n v="-65.069999999999993"/>
    <x v="1"/>
  </r>
  <r>
    <s v="ORD-1464"/>
    <x v="333"/>
    <x v="2"/>
    <x v="0"/>
    <s v="Phones"/>
    <n v="252.5"/>
    <n v="2"/>
    <n v="95.41"/>
    <x v="0"/>
  </r>
  <r>
    <s v="ORD-1465"/>
    <x v="334"/>
    <x v="1"/>
    <x v="1"/>
    <s v="Chairs"/>
    <n v="77.790000000000006"/>
    <n v="2"/>
    <n v="284.2"/>
    <x v="1"/>
  </r>
  <r>
    <s v="ORD-1466"/>
    <x v="335"/>
    <x v="1"/>
    <x v="2"/>
    <s v="Storage"/>
    <n v="964.5"/>
    <n v="8"/>
    <n v="-162.47"/>
    <x v="1"/>
  </r>
  <r>
    <s v="ORD-1467"/>
    <x v="336"/>
    <x v="0"/>
    <x v="2"/>
    <s v="Storage"/>
    <n v="720.13"/>
    <n v="3"/>
    <n v="7.38"/>
    <x v="0"/>
  </r>
  <r>
    <s v="ORD-1468"/>
    <x v="337"/>
    <x v="2"/>
    <x v="1"/>
    <s v="Tables"/>
    <n v="448.04"/>
    <n v="9"/>
    <n v="280.05"/>
    <x v="1"/>
  </r>
  <r>
    <s v="ORD-1469"/>
    <x v="338"/>
    <x v="3"/>
    <x v="0"/>
    <s v="Phones"/>
    <n v="107.99"/>
    <n v="5"/>
    <n v="250.59"/>
    <x v="1"/>
  </r>
  <r>
    <s v="ORD-1470"/>
    <x v="131"/>
    <x v="1"/>
    <x v="1"/>
    <s v="Bookcases"/>
    <n v="566.54"/>
    <n v="10"/>
    <n v="-61.61"/>
    <x v="1"/>
  </r>
  <r>
    <s v="ORD-1471"/>
    <x v="339"/>
    <x v="0"/>
    <x v="2"/>
    <s v="Paper"/>
    <n v="662.91"/>
    <n v="7"/>
    <n v="106.26"/>
    <x v="1"/>
  </r>
  <r>
    <s v="ORD-1472"/>
    <x v="316"/>
    <x v="3"/>
    <x v="0"/>
    <s v="Accessories"/>
    <n v="341.33"/>
    <n v="1"/>
    <n v="-124.96"/>
    <x v="1"/>
  </r>
  <r>
    <s v="ORD-1473"/>
    <x v="340"/>
    <x v="2"/>
    <x v="0"/>
    <s v="Machines"/>
    <n v="502.77"/>
    <n v="9"/>
    <n v="-37.43"/>
    <x v="0"/>
  </r>
  <r>
    <s v="ORD-1474"/>
    <x v="16"/>
    <x v="0"/>
    <x v="0"/>
    <s v="Phones"/>
    <n v="284.13"/>
    <n v="9"/>
    <n v="-30.78"/>
    <x v="1"/>
  </r>
  <r>
    <s v="ORD-1475"/>
    <x v="12"/>
    <x v="2"/>
    <x v="0"/>
    <s v="Phones"/>
    <n v="529.11"/>
    <n v="10"/>
    <n v="261.89"/>
    <x v="0"/>
  </r>
  <r>
    <s v="ORD-1476"/>
    <x v="341"/>
    <x v="0"/>
    <x v="2"/>
    <s v="Paper"/>
    <n v="801.33"/>
    <n v="10"/>
    <n v="0.09"/>
    <x v="1"/>
  </r>
  <r>
    <s v="ORD-1477"/>
    <x v="342"/>
    <x v="1"/>
    <x v="1"/>
    <s v="Chairs"/>
    <n v="828.63"/>
    <n v="3"/>
    <n v="190.77"/>
    <x v="1"/>
  </r>
  <r>
    <s v="ORD-1478"/>
    <x v="179"/>
    <x v="3"/>
    <x v="0"/>
    <s v="Phones"/>
    <n v="507.43"/>
    <n v="6"/>
    <n v="134.84"/>
    <x v="0"/>
  </r>
  <r>
    <s v="ORD-1479"/>
    <x v="173"/>
    <x v="2"/>
    <x v="0"/>
    <s v="Accessories"/>
    <n v="124.42"/>
    <n v="9"/>
    <n v="285.64999999999998"/>
    <x v="0"/>
  </r>
  <r>
    <s v="ORD-1480"/>
    <x v="343"/>
    <x v="3"/>
    <x v="0"/>
    <s v="Machines"/>
    <n v="643.37"/>
    <n v="2"/>
    <n v="-142.66"/>
    <x v="0"/>
  </r>
  <r>
    <s v="ORD-1481"/>
    <x v="344"/>
    <x v="2"/>
    <x v="2"/>
    <s v="Storage"/>
    <n v="238.33"/>
    <n v="8"/>
    <n v="106.3"/>
    <x v="0"/>
  </r>
  <r>
    <s v="ORD-1482"/>
    <x v="345"/>
    <x v="3"/>
    <x v="0"/>
    <s v="Phones"/>
    <n v="523.84"/>
    <n v="1"/>
    <n v="-34.299999999999997"/>
    <x v="0"/>
  </r>
  <r>
    <s v="ORD-1483"/>
    <x v="346"/>
    <x v="0"/>
    <x v="2"/>
    <s v="Binders"/>
    <n v="219.64"/>
    <n v="9"/>
    <n v="214.71"/>
    <x v="1"/>
  </r>
  <r>
    <s v="ORD-1484"/>
    <x v="294"/>
    <x v="0"/>
    <x v="1"/>
    <s v="Tables"/>
    <n v="292.23"/>
    <n v="6"/>
    <n v="262.29000000000002"/>
    <x v="0"/>
  </r>
  <r>
    <s v="ORD-1485"/>
    <x v="347"/>
    <x v="0"/>
    <x v="2"/>
    <s v="Storage"/>
    <n v="879.05"/>
    <n v="2"/>
    <n v="-165.98"/>
    <x v="0"/>
  </r>
  <r>
    <s v="ORD-1486"/>
    <x v="204"/>
    <x v="0"/>
    <x v="2"/>
    <s v="Storage"/>
    <n v="87.01"/>
    <n v="4"/>
    <n v="109.66"/>
    <x v="0"/>
  </r>
  <r>
    <s v="ORD-1487"/>
    <x v="176"/>
    <x v="3"/>
    <x v="0"/>
    <s v="Accessories"/>
    <n v="969.88"/>
    <n v="10"/>
    <n v="298.04000000000002"/>
    <x v="1"/>
  </r>
  <r>
    <s v="ORD-1488"/>
    <x v="348"/>
    <x v="1"/>
    <x v="2"/>
    <s v="Paper"/>
    <n v="106.11"/>
    <n v="1"/>
    <n v="32.83"/>
    <x v="1"/>
  </r>
  <r>
    <s v="ORD-1489"/>
    <x v="170"/>
    <x v="2"/>
    <x v="0"/>
    <s v="Machines"/>
    <n v="735.6"/>
    <n v="5"/>
    <n v="214.9"/>
    <x v="0"/>
  </r>
  <r>
    <s v="ORD-1490"/>
    <x v="349"/>
    <x v="3"/>
    <x v="0"/>
    <s v="Phones"/>
    <n v="467.22"/>
    <n v="6"/>
    <n v="51.83"/>
    <x v="0"/>
  </r>
  <r>
    <s v="ORD-1491"/>
    <x v="350"/>
    <x v="0"/>
    <x v="0"/>
    <s v="Phones"/>
    <n v="74.03"/>
    <n v="10"/>
    <n v="-8.4700000000000006"/>
    <x v="1"/>
  </r>
  <r>
    <s v="ORD-1492"/>
    <x v="10"/>
    <x v="0"/>
    <x v="2"/>
    <s v="Storage"/>
    <n v="174.93"/>
    <n v="4"/>
    <n v="116.64"/>
    <x v="1"/>
  </r>
  <r>
    <s v="ORD-1493"/>
    <x v="351"/>
    <x v="3"/>
    <x v="1"/>
    <s v="Chairs"/>
    <n v="689.84"/>
    <n v="7"/>
    <n v="-11.94"/>
    <x v="0"/>
  </r>
  <r>
    <s v="ORD-1494"/>
    <x v="352"/>
    <x v="3"/>
    <x v="1"/>
    <s v="Tables"/>
    <n v="918.78"/>
    <n v="8"/>
    <n v="82.63"/>
    <x v="0"/>
  </r>
  <r>
    <s v="ORD-1495"/>
    <x v="353"/>
    <x v="0"/>
    <x v="2"/>
    <s v="Storage"/>
    <n v="78.17"/>
    <n v="4"/>
    <n v="-168.1"/>
    <x v="0"/>
  </r>
  <r>
    <s v="ORD-1496"/>
    <x v="354"/>
    <x v="0"/>
    <x v="2"/>
    <s v="Binders"/>
    <n v="340.72"/>
    <n v="9"/>
    <n v="-185.66"/>
    <x v="1"/>
  </r>
  <r>
    <s v="ORD-1497"/>
    <x v="204"/>
    <x v="0"/>
    <x v="0"/>
    <s v="Accessories"/>
    <n v="176.68"/>
    <n v="5"/>
    <n v="140.22"/>
    <x v="0"/>
  </r>
  <r>
    <s v="ORD-1498"/>
    <x v="249"/>
    <x v="0"/>
    <x v="1"/>
    <s v="Chairs"/>
    <n v="960.31"/>
    <n v="6"/>
    <n v="75.23"/>
    <x v="1"/>
  </r>
  <r>
    <s v="ORD-1499"/>
    <x v="299"/>
    <x v="3"/>
    <x v="1"/>
    <s v="Bookcases"/>
    <n v="126.81"/>
    <n v="7"/>
    <n v="-42.48"/>
    <x v="1"/>
  </r>
  <r>
    <s v="ORD-1500"/>
    <x v="355"/>
    <x v="1"/>
    <x v="0"/>
    <s v="Machines"/>
    <n v="518.29999999999995"/>
    <n v="9"/>
    <n v="21.5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1:D29" firstHeaderRow="0"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items count="5">
        <item h="1" x="2"/>
        <item x="0"/>
        <item h="1" x="3"/>
        <item x="1"/>
        <item t="default"/>
      </items>
    </pivotField>
    <pivotField showAll="0">
      <items count="4">
        <item x="1"/>
        <item h="1" x="2"/>
        <item h="1" x="0"/>
        <item t="default"/>
      </items>
    </pivotField>
    <pivotField showAll="0"/>
    <pivotField dataField="1" showAll="0"/>
    <pivotField dataField="1" showAll="0"/>
    <pivotField showAll="0"/>
    <pivotField axis="axisRow" showAll="0">
      <items count="4">
        <item x="1"/>
        <item x="0"/>
        <item x="2"/>
        <item t="default"/>
      </items>
    </pivotField>
    <pivotField axis="axisRow" showAll="0" defaultSubtotal="0">
      <items count="5">
        <item x="0"/>
        <item x="1"/>
        <item x="2"/>
        <item x="3"/>
        <item x="4"/>
      </items>
    </pivotField>
  </pivotFields>
  <rowFields count="3">
    <field x="8"/>
    <field x="9"/>
    <field x="1"/>
  </rowFields>
  <rowItems count="28">
    <i>
      <x/>
    </i>
    <i r="1">
      <x v="1"/>
    </i>
    <i r="2">
      <x v="1"/>
    </i>
    <i r="2">
      <x v="2"/>
    </i>
    <i r="2">
      <x v="3"/>
    </i>
    <i r="2">
      <x v="4"/>
    </i>
    <i r="2">
      <x v="6"/>
    </i>
    <i r="2">
      <x v="7"/>
    </i>
    <i r="2">
      <x v="8"/>
    </i>
    <i r="2">
      <x v="9"/>
    </i>
    <i r="2">
      <x v="10"/>
    </i>
    <i r="2">
      <x v="11"/>
    </i>
    <i r="2">
      <x v="12"/>
    </i>
    <i>
      <x v="1"/>
    </i>
    <i r="1">
      <x v="2"/>
    </i>
    <i r="2">
      <x v="1"/>
    </i>
    <i r="2">
      <x v="2"/>
    </i>
    <i r="2">
      <x v="3"/>
    </i>
    <i r="2">
      <x v="4"/>
    </i>
    <i r="2">
      <x v="5"/>
    </i>
    <i r="2">
      <x v="6"/>
    </i>
    <i r="2">
      <x v="7"/>
    </i>
    <i r="2">
      <x v="8"/>
    </i>
    <i r="2">
      <x v="9"/>
    </i>
    <i r="2">
      <x v="10"/>
    </i>
    <i r="2">
      <x v="11"/>
    </i>
    <i r="2">
      <x v="12"/>
    </i>
    <i t="grand">
      <x/>
    </i>
  </rowItems>
  <colFields count="1">
    <field x="-2"/>
  </colFields>
  <colItems count="3">
    <i>
      <x/>
    </i>
    <i i="1">
      <x v="1"/>
    </i>
    <i i="2">
      <x v="2"/>
    </i>
  </colItems>
  <dataFields count="3">
    <dataField name="Total Revenue" fld="5" baseField="8" baseItem="0"/>
    <dataField name="% MoM Change." fld="5" baseField="8" baseItem="0"/>
    <dataField name="Units Sold" fld="6" baseField="8"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2"/>
  </pivotTables>
  <data>
    <tabular pivotCacheId="1">
      <items count="4">
        <i x="2"/>
        <i x="0" s="1"/>
        <i x="3"/>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2"/>
  </pivotTables>
  <data>
    <tabular pivotCacheId="1">
      <items count="3">
        <i x="1"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s>
</file>

<file path=xl/tables/table1.xml><?xml version="1.0" encoding="utf-8"?>
<table xmlns="http://schemas.openxmlformats.org/spreadsheetml/2006/main" id="2" name="SalesData" displayName="SalesData" ref="A1:I501" totalsRowShown="0">
  <autoFilter ref="A1:I501"/>
  <tableColumns count="9">
    <tableColumn id="1" name="Order ID"/>
    <tableColumn id="2" name="Order Date" dataDxfId="1"/>
    <tableColumn id="3" name="Region"/>
    <tableColumn id="4" name="Category"/>
    <tableColumn id="5" name="Sub-Category"/>
    <tableColumn id="6" name="Sales"/>
    <tableColumn id="7" name="Quantity"/>
    <tableColumn id="8" name="Profit"/>
    <tableColumn id="9" name="Year" dataDxfId="0">
      <calculatedColumnFormula>YEAR(SalesData[[#This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showGridLines="0" tabSelected="1" workbookViewId="0">
      <selection activeCell="M16" sqref="M16"/>
    </sheetView>
  </sheetViews>
  <sheetFormatPr defaultRowHeight="15" x14ac:dyDescent="0.25"/>
  <cols>
    <col min="1" max="1" width="13.140625" customWidth="1"/>
    <col min="2" max="2" width="13.85546875" bestFit="1" customWidth="1"/>
    <col min="3" max="3" width="15.5703125" customWidth="1"/>
    <col min="4" max="4" width="10" bestFit="1" customWidth="1"/>
  </cols>
  <sheetData>
    <row r="1" spans="1:4" x14ac:dyDescent="0.25">
      <c r="A1" s="4" t="s">
        <v>525</v>
      </c>
      <c r="B1" t="s">
        <v>542</v>
      </c>
      <c r="C1" t="s">
        <v>541</v>
      </c>
      <c r="D1" t="s">
        <v>543</v>
      </c>
    </row>
    <row r="2" spans="1:4" x14ac:dyDescent="0.25">
      <c r="A2" s="5">
        <v>2022</v>
      </c>
      <c r="B2" s="3">
        <v>23272.47</v>
      </c>
      <c r="C2" s="3">
        <v>23272.47</v>
      </c>
      <c r="D2" s="3">
        <v>253</v>
      </c>
    </row>
    <row r="3" spans="1:4" x14ac:dyDescent="0.25">
      <c r="A3" s="6" t="s">
        <v>527</v>
      </c>
      <c r="B3" s="3"/>
      <c r="C3" s="3"/>
      <c r="D3" s="3"/>
    </row>
    <row r="4" spans="1:4" x14ac:dyDescent="0.25">
      <c r="A4" s="7" t="s">
        <v>528</v>
      </c>
      <c r="B4" s="3">
        <v>2760.77</v>
      </c>
      <c r="C4" s="3">
        <v>2760.77</v>
      </c>
      <c r="D4" s="3">
        <v>39</v>
      </c>
    </row>
    <row r="5" spans="1:4" x14ac:dyDescent="0.25">
      <c r="A5" s="7" t="s">
        <v>529</v>
      </c>
      <c r="B5" s="3">
        <v>2037.4</v>
      </c>
      <c r="C5" s="3">
        <v>2037.4</v>
      </c>
      <c r="D5" s="3">
        <v>11</v>
      </c>
    </row>
    <row r="6" spans="1:4" x14ac:dyDescent="0.25">
      <c r="A6" s="7" t="s">
        <v>530</v>
      </c>
      <c r="B6" s="3">
        <v>1985.89</v>
      </c>
      <c r="C6" s="3">
        <v>1985.89</v>
      </c>
      <c r="D6" s="3">
        <v>26</v>
      </c>
    </row>
    <row r="7" spans="1:4" x14ac:dyDescent="0.25">
      <c r="A7" s="7" t="s">
        <v>531</v>
      </c>
      <c r="B7" s="3">
        <v>1004.15</v>
      </c>
      <c r="C7" s="3">
        <v>1004.15</v>
      </c>
      <c r="D7" s="3">
        <v>12</v>
      </c>
    </row>
    <row r="8" spans="1:4" x14ac:dyDescent="0.25">
      <c r="A8" s="7" t="s">
        <v>533</v>
      </c>
      <c r="B8" s="3">
        <v>930.45</v>
      </c>
      <c r="C8" s="3">
        <v>930.45</v>
      </c>
      <c r="D8" s="3">
        <v>9</v>
      </c>
    </row>
    <row r="9" spans="1:4" x14ac:dyDescent="0.25">
      <c r="A9" s="7" t="s">
        <v>534</v>
      </c>
      <c r="B9" s="3">
        <v>1636.45</v>
      </c>
      <c r="C9" s="3">
        <v>1636.45</v>
      </c>
      <c r="D9" s="3">
        <v>21</v>
      </c>
    </row>
    <row r="10" spans="1:4" x14ac:dyDescent="0.25">
      <c r="A10" s="7" t="s">
        <v>535</v>
      </c>
      <c r="B10" s="3">
        <v>1741.8600000000001</v>
      </c>
      <c r="C10" s="3">
        <v>1741.8600000000001</v>
      </c>
      <c r="D10" s="3">
        <v>26</v>
      </c>
    </row>
    <row r="11" spans="1:4" x14ac:dyDescent="0.25">
      <c r="A11" s="7" t="s">
        <v>536</v>
      </c>
      <c r="B11" s="3">
        <v>1923.78</v>
      </c>
      <c r="C11" s="3">
        <v>1923.78</v>
      </c>
      <c r="D11" s="3">
        <v>30</v>
      </c>
    </row>
    <row r="12" spans="1:4" x14ac:dyDescent="0.25">
      <c r="A12" s="7" t="s">
        <v>537</v>
      </c>
      <c r="B12" s="3">
        <v>2980.88</v>
      </c>
      <c r="C12" s="3">
        <v>2980.88</v>
      </c>
      <c r="D12" s="3">
        <v>35</v>
      </c>
    </row>
    <row r="13" spans="1:4" x14ac:dyDescent="0.25">
      <c r="A13" s="7" t="s">
        <v>538</v>
      </c>
      <c r="B13" s="3">
        <v>3154.21</v>
      </c>
      <c r="C13" s="3">
        <v>3154.21</v>
      </c>
      <c r="D13" s="3">
        <v>26</v>
      </c>
    </row>
    <row r="14" spans="1:4" x14ac:dyDescent="0.25">
      <c r="A14" s="7" t="s">
        <v>539</v>
      </c>
      <c r="B14" s="3">
        <v>3116.63</v>
      </c>
      <c r="C14" s="3">
        <v>3116.63</v>
      </c>
      <c r="D14" s="3">
        <v>18</v>
      </c>
    </row>
    <row r="15" spans="1:4" x14ac:dyDescent="0.25">
      <c r="A15" s="5">
        <v>2023</v>
      </c>
      <c r="B15" s="3">
        <v>26445.800000000003</v>
      </c>
      <c r="C15" s="3">
        <v>26445.800000000003</v>
      </c>
      <c r="D15" s="3">
        <v>273</v>
      </c>
    </row>
    <row r="16" spans="1:4" x14ac:dyDescent="0.25">
      <c r="A16" s="6" t="s">
        <v>540</v>
      </c>
      <c r="B16" s="3"/>
      <c r="C16" s="3"/>
      <c r="D16" s="3"/>
    </row>
    <row r="17" spans="1:4" x14ac:dyDescent="0.25">
      <c r="A17" s="7" t="s">
        <v>528</v>
      </c>
      <c r="B17" s="3">
        <v>2778.6000000000004</v>
      </c>
      <c r="C17" s="3">
        <v>2778.6000000000004</v>
      </c>
      <c r="D17" s="3">
        <v>27</v>
      </c>
    </row>
    <row r="18" spans="1:4" x14ac:dyDescent="0.25">
      <c r="A18" s="7" t="s">
        <v>529</v>
      </c>
      <c r="B18" s="3">
        <v>2622.67</v>
      </c>
      <c r="C18" s="3">
        <v>2622.67</v>
      </c>
      <c r="D18" s="3">
        <v>15</v>
      </c>
    </row>
    <row r="19" spans="1:4" x14ac:dyDescent="0.25">
      <c r="A19" s="7" t="s">
        <v>530</v>
      </c>
      <c r="B19" s="3">
        <v>2658.59</v>
      </c>
      <c r="C19" s="3">
        <v>2658.59</v>
      </c>
      <c r="D19" s="3">
        <v>31</v>
      </c>
    </row>
    <row r="20" spans="1:4" x14ac:dyDescent="0.25">
      <c r="A20" s="7" t="s">
        <v>531</v>
      </c>
      <c r="B20" s="3">
        <v>2187.7399999999998</v>
      </c>
      <c r="C20" s="3">
        <v>2187.7399999999998</v>
      </c>
      <c r="D20" s="3">
        <v>29</v>
      </c>
    </row>
    <row r="21" spans="1:4" x14ac:dyDescent="0.25">
      <c r="A21" s="7" t="s">
        <v>532</v>
      </c>
      <c r="B21" s="3">
        <v>1932.71</v>
      </c>
      <c r="C21" s="3">
        <v>1932.71</v>
      </c>
      <c r="D21" s="3">
        <v>15</v>
      </c>
    </row>
    <row r="22" spans="1:4" x14ac:dyDescent="0.25">
      <c r="A22" s="7" t="s">
        <v>533</v>
      </c>
      <c r="B22" s="3">
        <v>2664.54</v>
      </c>
      <c r="C22" s="3">
        <v>2664.54</v>
      </c>
      <c r="D22" s="3">
        <v>15</v>
      </c>
    </row>
    <row r="23" spans="1:4" x14ac:dyDescent="0.25">
      <c r="A23" s="7" t="s">
        <v>534</v>
      </c>
      <c r="B23" s="3">
        <v>736.38000000000011</v>
      </c>
      <c r="C23" s="3">
        <v>736.38000000000011</v>
      </c>
      <c r="D23" s="3">
        <v>17</v>
      </c>
    </row>
    <row r="24" spans="1:4" x14ac:dyDescent="0.25">
      <c r="A24" s="7" t="s">
        <v>535</v>
      </c>
      <c r="B24" s="3">
        <v>2222.96</v>
      </c>
      <c r="C24" s="3">
        <v>2222.96</v>
      </c>
      <c r="D24" s="3">
        <v>34</v>
      </c>
    </row>
    <row r="25" spans="1:4" x14ac:dyDescent="0.25">
      <c r="A25" s="7" t="s">
        <v>536</v>
      </c>
      <c r="B25" s="3">
        <v>2909.52</v>
      </c>
      <c r="C25" s="3">
        <v>2909.52</v>
      </c>
      <c r="D25" s="3">
        <v>29</v>
      </c>
    </row>
    <row r="26" spans="1:4" x14ac:dyDescent="0.25">
      <c r="A26" s="7" t="s">
        <v>537</v>
      </c>
      <c r="B26" s="3">
        <v>549.14</v>
      </c>
      <c r="C26" s="3">
        <v>549.14</v>
      </c>
      <c r="D26" s="3">
        <v>4</v>
      </c>
    </row>
    <row r="27" spans="1:4" x14ac:dyDescent="0.25">
      <c r="A27" s="7" t="s">
        <v>538</v>
      </c>
      <c r="B27" s="3">
        <v>3382.6299999999997</v>
      </c>
      <c r="C27" s="3">
        <v>3382.6299999999997</v>
      </c>
      <c r="D27" s="3">
        <v>36</v>
      </c>
    </row>
    <row r="28" spans="1:4" x14ac:dyDescent="0.25">
      <c r="A28" s="7" t="s">
        <v>539</v>
      </c>
      <c r="B28" s="3">
        <v>1800.32</v>
      </c>
      <c r="C28" s="3">
        <v>1800.32</v>
      </c>
      <c r="D28" s="3">
        <v>21</v>
      </c>
    </row>
    <row r="29" spans="1:4" x14ac:dyDescent="0.25">
      <c r="A29" s="5" t="s">
        <v>526</v>
      </c>
      <c r="B29" s="3">
        <v>49718.26999999999</v>
      </c>
      <c r="C29" s="3">
        <v>49718.26999999999</v>
      </c>
      <c r="D29" s="3">
        <v>526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I20" sqref="I2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1"/>
  <sheetViews>
    <sheetView topLeftCell="A2" workbookViewId="0">
      <selection activeCell="D9" sqref="D9"/>
    </sheetView>
  </sheetViews>
  <sheetFormatPr defaultRowHeight="15" x14ac:dyDescent="0.25"/>
  <cols>
    <col min="1" max="1" width="10.5703125" customWidth="1"/>
    <col min="2" max="2" width="12.85546875" customWidth="1"/>
    <col min="3" max="3" width="9.28515625" customWidth="1"/>
    <col min="4" max="4" width="14.5703125" bestFit="1" customWidth="1"/>
    <col min="5" max="5" width="15" customWidth="1"/>
    <col min="6" max="6" width="7.7109375" customWidth="1"/>
    <col min="7" max="7" width="10.85546875" customWidth="1"/>
    <col min="8" max="8" width="8.140625" customWidth="1"/>
    <col min="10" max="10" width="12.140625" bestFit="1" customWidth="1"/>
    <col min="11" max="11" width="15.42578125" bestFit="1" customWidth="1"/>
  </cols>
  <sheetData>
    <row r="1" spans="1:9" x14ac:dyDescent="0.25">
      <c r="A1" t="s">
        <v>0</v>
      </c>
      <c r="B1" s="1" t="s">
        <v>1</v>
      </c>
      <c r="C1" t="s">
        <v>2</v>
      </c>
      <c r="D1" t="s">
        <v>3</v>
      </c>
      <c r="E1" t="s">
        <v>4</v>
      </c>
      <c r="F1" s="2" t="s">
        <v>5</v>
      </c>
      <c r="G1" t="s">
        <v>6</v>
      </c>
      <c r="H1" s="2" t="s">
        <v>7</v>
      </c>
      <c r="I1" t="s">
        <v>524</v>
      </c>
    </row>
    <row r="2" spans="1:9" x14ac:dyDescent="0.25">
      <c r="A2" t="s">
        <v>8</v>
      </c>
      <c r="B2" s="1">
        <v>44986</v>
      </c>
      <c r="C2" t="s">
        <v>9</v>
      </c>
      <c r="D2" t="s">
        <v>10</v>
      </c>
      <c r="E2" t="s">
        <v>11</v>
      </c>
      <c r="F2">
        <v>643.02</v>
      </c>
      <c r="G2">
        <v>9</v>
      </c>
      <c r="H2">
        <v>223.56</v>
      </c>
      <c r="I2">
        <f>YEAR(SalesData[[#This Row],[Order Date]])</f>
        <v>2023</v>
      </c>
    </row>
    <row r="3" spans="1:9" x14ac:dyDescent="0.25">
      <c r="A3" t="s">
        <v>12</v>
      </c>
      <c r="B3" s="1">
        <v>44811</v>
      </c>
      <c r="C3" t="s">
        <v>13</v>
      </c>
      <c r="D3" t="s">
        <v>10</v>
      </c>
      <c r="E3" t="s">
        <v>14</v>
      </c>
      <c r="F3">
        <v>386.85</v>
      </c>
      <c r="G3">
        <v>7</v>
      </c>
      <c r="H3">
        <v>118.74</v>
      </c>
      <c r="I3">
        <f>YEAR(SalesData[[#This Row],[Order Date]])</f>
        <v>2022</v>
      </c>
    </row>
    <row r="4" spans="1:9" x14ac:dyDescent="0.25">
      <c r="A4" t="s">
        <v>15</v>
      </c>
      <c r="B4" s="1">
        <v>45044</v>
      </c>
      <c r="C4" t="s">
        <v>16</v>
      </c>
      <c r="D4" t="s">
        <v>17</v>
      </c>
      <c r="E4" t="s">
        <v>18</v>
      </c>
      <c r="F4">
        <v>218.55</v>
      </c>
      <c r="G4">
        <v>2</v>
      </c>
      <c r="H4">
        <v>91.17</v>
      </c>
      <c r="I4">
        <f>YEAR(SalesData[[#This Row],[Order Date]])</f>
        <v>2023</v>
      </c>
    </row>
    <row r="5" spans="1:9" x14ac:dyDescent="0.25">
      <c r="A5" t="s">
        <v>19</v>
      </c>
      <c r="B5" s="1">
        <v>45226</v>
      </c>
      <c r="C5" t="s">
        <v>20</v>
      </c>
      <c r="D5" t="s">
        <v>10</v>
      </c>
      <c r="E5" t="s">
        <v>14</v>
      </c>
      <c r="F5">
        <v>709.56</v>
      </c>
      <c r="G5">
        <v>3</v>
      </c>
      <c r="H5">
        <v>260.27999999999997</v>
      </c>
      <c r="I5">
        <f>YEAR(SalesData[[#This Row],[Order Date]])</f>
        <v>2023</v>
      </c>
    </row>
    <row r="6" spans="1:9" x14ac:dyDescent="0.25">
      <c r="A6" t="s">
        <v>21</v>
      </c>
      <c r="B6" s="1">
        <v>44917</v>
      </c>
      <c r="C6" t="s">
        <v>20</v>
      </c>
      <c r="D6" t="s">
        <v>17</v>
      </c>
      <c r="E6" t="s">
        <v>18</v>
      </c>
      <c r="F6">
        <v>672.67</v>
      </c>
      <c r="G6">
        <v>5</v>
      </c>
      <c r="H6">
        <v>-152.19999999999999</v>
      </c>
      <c r="I6">
        <f>YEAR(SalesData[[#This Row],[Order Date]])</f>
        <v>2022</v>
      </c>
    </row>
    <row r="7" spans="1:9" x14ac:dyDescent="0.25">
      <c r="A7" t="s">
        <v>22</v>
      </c>
      <c r="B7" s="1">
        <v>44594</v>
      </c>
      <c r="C7" t="s">
        <v>20</v>
      </c>
      <c r="D7" t="s">
        <v>17</v>
      </c>
      <c r="E7" t="s">
        <v>18</v>
      </c>
      <c r="F7">
        <v>118.68</v>
      </c>
      <c r="G7">
        <v>9</v>
      </c>
      <c r="H7">
        <v>-21.19</v>
      </c>
      <c r="I7">
        <f>YEAR(SalesData[[#This Row],[Order Date]])</f>
        <v>2022</v>
      </c>
    </row>
    <row r="8" spans="1:9" x14ac:dyDescent="0.25">
      <c r="A8" t="s">
        <v>23</v>
      </c>
      <c r="B8" s="1">
        <v>45273</v>
      </c>
      <c r="C8" t="s">
        <v>16</v>
      </c>
      <c r="D8" t="s">
        <v>10</v>
      </c>
      <c r="E8" t="s">
        <v>24</v>
      </c>
      <c r="F8">
        <v>133.13</v>
      </c>
      <c r="G8">
        <v>3</v>
      </c>
      <c r="H8">
        <v>36.24</v>
      </c>
      <c r="I8">
        <f>YEAR(SalesData[[#This Row],[Order Date]])</f>
        <v>2023</v>
      </c>
    </row>
    <row r="9" spans="1:9" x14ac:dyDescent="0.25">
      <c r="A9" t="s">
        <v>25</v>
      </c>
      <c r="B9" s="1">
        <v>44563</v>
      </c>
      <c r="C9" t="s">
        <v>16</v>
      </c>
      <c r="D9" t="s">
        <v>17</v>
      </c>
      <c r="E9" t="s">
        <v>18</v>
      </c>
      <c r="F9">
        <v>24.77</v>
      </c>
      <c r="G9">
        <v>9</v>
      </c>
      <c r="H9">
        <v>-79.08</v>
      </c>
      <c r="I9">
        <f>YEAR(SalesData[[#This Row],[Order Date]])</f>
        <v>2022</v>
      </c>
    </row>
    <row r="10" spans="1:9" x14ac:dyDescent="0.25">
      <c r="A10" t="s">
        <v>26</v>
      </c>
      <c r="B10" s="1">
        <v>45017</v>
      </c>
      <c r="C10" t="s">
        <v>13</v>
      </c>
      <c r="D10" t="s">
        <v>17</v>
      </c>
      <c r="E10" t="s">
        <v>27</v>
      </c>
      <c r="F10">
        <v>495.61</v>
      </c>
      <c r="G10">
        <v>8</v>
      </c>
      <c r="H10">
        <v>-22.51</v>
      </c>
      <c r="I10">
        <f>YEAR(SalesData[[#This Row],[Order Date]])</f>
        <v>2023</v>
      </c>
    </row>
    <row r="11" spans="1:9" x14ac:dyDescent="0.25">
      <c r="A11" t="s">
        <v>28</v>
      </c>
      <c r="B11" s="1">
        <v>45019</v>
      </c>
      <c r="C11" t="s">
        <v>16</v>
      </c>
      <c r="D11" t="s">
        <v>29</v>
      </c>
      <c r="E11" t="s">
        <v>30</v>
      </c>
      <c r="F11">
        <v>765.25</v>
      </c>
      <c r="G11">
        <v>7</v>
      </c>
      <c r="H11">
        <v>-53.36</v>
      </c>
      <c r="I11">
        <f>YEAR(SalesData[[#This Row],[Order Date]])</f>
        <v>2023</v>
      </c>
    </row>
    <row r="12" spans="1:9" x14ac:dyDescent="0.25">
      <c r="A12" t="s">
        <v>31</v>
      </c>
      <c r="B12" s="1">
        <v>44602</v>
      </c>
      <c r="C12" t="s">
        <v>13</v>
      </c>
      <c r="D12" t="s">
        <v>17</v>
      </c>
      <c r="E12" t="s">
        <v>18</v>
      </c>
      <c r="F12">
        <v>822.19</v>
      </c>
      <c r="G12">
        <v>2</v>
      </c>
      <c r="H12">
        <v>255.85</v>
      </c>
      <c r="I12">
        <f>YEAR(SalesData[[#This Row],[Order Date]])</f>
        <v>2022</v>
      </c>
    </row>
    <row r="13" spans="1:9" x14ac:dyDescent="0.25">
      <c r="A13" t="s">
        <v>32</v>
      </c>
      <c r="B13" s="1">
        <v>44800</v>
      </c>
      <c r="C13" t="s">
        <v>13</v>
      </c>
      <c r="D13" t="s">
        <v>10</v>
      </c>
      <c r="E13" t="s">
        <v>14</v>
      </c>
      <c r="F13">
        <v>984.42</v>
      </c>
      <c r="G13">
        <v>1</v>
      </c>
      <c r="H13">
        <v>-105.89</v>
      </c>
      <c r="I13">
        <f>YEAR(SalesData[[#This Row],[Order Date]])</f>
        <v>2022</v>
      </c>
    </row>
    <row r="14" spans="1:9" x14ac:dyDescent="0.25">
      <c r="A14" t="s">
        <v>33</v>
      </c>
      <c r="B14" s="1">
        <v>45158</v>
      </c>
      <c r="C14" t="s">
        <v>13</v>
      </c>
      <c r="D14" t="s">
        <v>10</v>
      </c>
      <c r="E14" t="s">
        <v>14</v>
      </c>
      <c r="F14">
        <v>593.89</v>
      </c>
      <c r="G14">
        <v>7</v>
      </c>
      <c r="H14">
        <v>198.8</v>
      </c>
      <c r="I14">
        <f>YEAR(SalesData[[#This Row],[Order Date]])</f>
        <v>2023</v>
      </c>
    </row>
    <row r="15" spans="1:9" x14ac:dyDescent="0.25">
      <c r="A15" t="s">
        <v>34</v>
      </c>
      <c r="B15" s="1">
        <v>45235</v>
      </c>
      <c r="C15" t="s">
        <v>20</v>
      </c>
      <c r="D15" t="s">
        <v>10</v>
      </c>
      <c r="E15" t="s">
        <v>24</v>
      </c>
      <c r="F15">
        <v>914.8</v>
      </c>
      <c r="G15">
        <v>1</v>
      </c>
      <c r="H15">
        <v>97.96</v>
      </c>
      <c r="I15">
        <f>YEAR(SalesData[[#This Row],[Order Date]])</f>
        <v>2023</v>
      </c>
    </row>
    <row r="16" spans="1:9" x14ac:dyDescent="0.25">
      <c r="A16" t="s">
        <v>35</v>
      </c>
      <c r="B16" s="1">
        <v>44802</v>
      </c>
      <c r="C16" t="s">
        <v>9</v>
      </c>
      <c r="D16" t="s">
        <v>10</v>
      </c>
      <c r="E16" t="s">
        <v>24</v>
      </c>
      <c r="F16">
        <v>550.09</v>
      </c>
      <c r="G16">
        <v>7</v>
      </c>
      <c r="H16">
        <v>208.93</v>
      </c>
      <c r="I16">
        <f>YEAR(SalesData[[#This Row],[Order Date]])</f>
        <v>2022</v>
      </c>
    </row>
    <row r="17" spans="1:9" x14ac:dyDescent="0.25">
      <c r="A17" t="s">
        <v>36</v>
      </c>
      <c r="B17" s="1">
        <v>45168</v>
      </c>
      <c r="C17" t="s">
        <v>13</v>
      </c>
      <c r="D17" t="s">
        <v>10</v>
      </c>
      <c r="E17" t="s">
        <v>14</v>
      </c>
      <c r="F17">
        <v>145.03</v>
      </c>
      <c r="G17">
        <v>10</v>
      </c>
      <c r="H17">
        <v>1.34</v>
      </c>
      <c r="I17">
        <f>YEAR(SalesData[[#This Row],[Order Date]])</f>
        <v>2023</v>
      </c>
    </row>
    <row r="18" spans="1:9" x14ac:dyDescent="0.25">
      <c r="A18" t="s">
        <v>37</v>
      </c>
      <c r="B18" s="1">
        <v>44819</v>
      </c>
      <c r="C18" t="s">
        <v>20</v>
      </c>
      <c r="D18" t="s">
        <v>10</v>
      </c>
      <c r="E18" t="s">
        <v>11</v>
      </c>
      <c r="F18">
        <v>931.32</v>
      </c>
      <c r="G18">
        <v>8</v>
      </c>
      <c r="H18">
        <v>159.86000000000001</v>
      </c>
      <c r="I18">
        <f>YEAR(SalesData[[#This Row],[Order Date]])</f>
        <v>2022</v>
      </c>
    </row>
    <row r="19" spans="1:9" x14ac:dyDescent="0.25">
      <c r="A19" t="s">
        <v>38</v>
      </c>
      <c r="B19" s="1">
        <v>45204</v>
      </c>
      <c r="C19" t="s">
        <v>16</v>
      </c>
      <c r="D19" t="s">
        <v>17</v>
      </c>
      <c r="E19" t="s">
        <v>18</v>
      </c>
      <c r="F19">
        <v>527.98</v>
      </c>
      <c r="G19">
        <v>4</v>
      </c>
      <c r="H19">
        <v>32.619999999999997</v>
      </c>
      <c r="I19">
        <f>YEAR(SalesData[[#This Row],[Order Date]])</f>
        <v>2023</v>
      </c>
    </row>
    <row r="20" spans="1:9" x14ac:dyDescent="0.25">
      <c r="A20" t="s">
        <v>39</v>
      </c>
      <c r="B20" s="1">
        <v>44874</v>
      </c>
      <c r="C20" t="s">
        <v>20</v>
      </c>
      <c r="D20" t="s">
        <v>29</v>
      </c>
      <c r="E20" t="s">
        <v>40</v>
      </c>
      <c r="F20">
        <v>667.99</v>
      </c>
      <c r="G20">
        <v>8</v>
      </c>
      <c r="H20">
        <v>178.49</v>
      </c>
      <c r="I20">
        <f>YEAR(SalesData[[#This Row],[Order Date]])</f>
        <v>2022</v>
      </c>
    </row>
    <row r="21" spans="1:9" x14ac:dyDescent="0.25">
      <c r="A21" t="s">
        <v>41</v>
      </c>
      <c r="B21" s="1">
        <v>45077</v>
      </c>
      <c r="C21" t="s">
        <v>20</v>
      </c>
      <c r="D21" t="s">
        <v>10</v>
      </c>
      <c r="E21" t="s">
        <v>24</v>
      </c>
      <c r="F21">
        <v>687.96</v>
      </c>
      <c r="G21">
        <v>9</v>
      </c>
      <c r="H21">
        <v>295.75</v>
      </c>
      <c r="I21">
        <f>YEAR(SalesData[[#This Row],[Order Date]])</f>
        <v>2023</v>
      </c>
    </row>
    <row r="22" spans="1:9" x14ac:dyDescent="0.25">
      <c r="A22" t="s">
        <v>42</v>
      </c>
      <c r="B22" s="1">
        <v>45285</v>
      </c>
      <c r="C22" t="s">
        <v>13</v>
      </c>
      <c r="D22" t="s">
        <v>10</v>
      </c>
      <c r="E22" t="s">
        <v>14</v>
      </c>
      <c r="F22">
        <v>319.39999999999998</v>
      </c>
      <c r="G22">
        <v>5</v>
      </c>
      <c r="H22">
        <v>-105.03</v>
      </c>
      <c r="I22">
        <f>YEAR(SalesData[[#This Row],[Order Date]])</f>
        <v>2023</v>
      </c>
    </row>
    <row r="23" spans="1:9" x14ac:dyDescent="0.25">
      <c r="A23" t="s">
        <v>43</v>
      </c>
      <c r="B23" s="1">
        <v>44675</v>
      </c>
      <c r="C23" t="s">
        <v>16</v>
      </c>
      <c r="D23" t="s">
        <v>29</v>
      </c>
      <c r="E23" t="s">
        <v>30</v>
      </c>
      <c r="F23">
        <v>173.8</v>
      </c>
      <c r="G23">
        <v>1</v>
      </c>
      <c r="H23">
        <v>-97.48</v>
      </c>
      <c r="I23">
        <f>YEAR(SalesData[[#This Row],[Order Date]])</f>
        <v>2022</v>
      </c>
    </row>
    <row r="24" spans="1:9" x14ac:dyDescent="0.25">
      <c r="A24" t="s">
        <v>44</v>
      </c>
      <c r="B24" s="1">
        <v>44652</v>
      </c>
      <c r="C24" t="s">
        <v>16</v>
      </c>
      <c r="D24" t="s">
        <v>10</v>
      </c>
      <c r="E24" t="s">
        <v>14</v>
      </c>
      <c r="F24">
        <v>90.17</v>
      </c>
      <c r="G24">
        <v>6</v>
      </c>
      <c r="H24">
        <v>-105.97</v>
      </c>
      <c r="I24">
        <f>YEAR(SalesData[[#This Row],[Order Date]])</f>
        <v>2022</v>
      </c>
    </row>
    <row r="25" spans="1:9" x14ac:dyDescent="0.25">
      <c r="A25" t="s">
        <v>45</v>
      </c>
      <c r="B25" s="1">
        <v>45004</v>
      </c>
      <c r="C25" t="s">
        <v>13</v>
      </c>
      <c r="D25" t="s">
        <v>10</v>
      </c>
      <c r="E25" t="s">
        <v>24</v>
      </c>
      <c r="F25">
        <v>263.39</v>
      </c>
      <c r="G25">
        <v>3</v>
      </c>
      <c r="H25">
        <v>11.27</v>
      </c>
      <c r="I25">
        <f>YEAR(SalesData[[#This Row],[Order Date]])</f>
        <v>2023</v>
      </c>
    </row>
    <row r="26" spans="1:9" x14ac:dyDescent="0.25">
      <c r="A26" t="s">
        <v>46</v>
      </c>
      <c r="B26" s="1">
        <v>45013</v>
      </c>
      <c r="C26" t="s">
        <v>9</v>
      </c>
      <c r="D26" t="s">
        <v>17</v>
      </c>
      <c r="E26" t="s">
        <v>27</v>
      </c>
      <c r="F26">
        <v>512.76</v>
      </c>
      <c r="G26">
        <v>9</v>
      </c>
      <c r="H26">
        <v>-189.66</v>
      </c>
      <c r="I26">
        <f>YEAR(SalesData[[#This Row],[Order Date]])</f>
        <v>2023</v>
      </c>
    </row>
    <row r="27" spans="1:9" x14ac:dyDescent="0.25">
      <c r="A27" t="s">
        <v>47</v>
      </c>
      <c r="B27" s="1">
        <v>45186</v>
      </c>
      <c r="C27" t="s">
        <v>9</v>
      </c>
      <c r="D27" t="s">
        <v>10</v>
      </c>
      <c r="E27" t="s">
        <v>14</v>
      </c>
      <c r="F27">
        <v>892.33</v>
      </c>
      <c r="G27">
        <v>9</v>
      </c>
      <c r="H27">
        <v>-113.24</v>
      </c>
      <c r="I27">
        <f>YEAR(SalesData[[#This Row],[Order Date]])</f>
        <v>2023</v>
      </c>
    </row>
    <row r="28" spans="1:9" x14ac:dyDescent="0.25">
      <c r="A28" t="s">
        <v>48</v>
      </c>
      <c r="B28" s="1">
        <v>44925</v>
      </c>
      <c r="C28" t="s">
        <v>9</v>
      </c>
      <c r="D28" t="s">
        <v>29</v>
      </c>
      <c r="E28" t="s">
        <v>30</v>
      </c>
      <c r="F28">
        <v>587.17999999999995</v>
      </c>
      <c r="G28">
        <v>4</v>
      </c>
      <c r="H28">
        <v>-190.2</v>
      </c>
      <c r="I28">
        <f>YEAR(SalesData[[#This Row],[Order Date]])</f>
        <v>2022</v>
      </c>
    </row>
    <row r="29" spans="1:9" x14ac:dyDescent="0.25">
      <c r="A29" t="s">
        <v>49</v>
      </c>
      <c r="B29" s="1">
        <v>45242</v>
      </c>
      <c r="C29" t="s">
        <v>13</v>
      </c>
      <c r="D29" t="s">
        <v>29</v>
      </c>
      <c r="E29" t="s">
        <v>50</v>
      </c>
      <c r="F29">
        <v>219.11</v>
      </c>
      <c r="G29">
        <v>1</v>
      </c>
      <c r="H29">
        <v>-198.48</v>
      </c>
      <c r="I29">
        <f>YEAR(SalesData[[#This Row],[Order Date]])</f>
        <v>2023</v>
      </c>
    </row>
    <row r="30" spans="1:9" x14ac:dyDescent="0.25">
      <c r="A30" t="s">
        <v>51</v>
      </c>
      <c r="B30" s="1">
        <v>44790</v>
      </c>
      <c r="C30" t="s">
        <v>9</v>
      </c>
      <c r="D30" t="s">
        <v>10</v>
      </c>
      <c r="E30" t="s">
        <v>14</v>
      </c>
      <c r="F30">
        <v>94.31</v>
      </c>
      <c r="G30">
        <v>4</v>
      </c>
      <c r="H30">
        <v>178.07</v>
      </c>
      <c r="I30">
        <f>YEAR(SalesData[[#This Row],[Order Date]])</f>
        <v>2022</v>
      </c>
    </row>
    <row r="31" spans="1:9" x14ac:dyDescent="0.25">
      <c r="A31" t="s">
        <v>52</v>
      </c>
      <c r="B31" s="1">
        <v>45262</v>
      </c>
      <c r="C31" t="s">
        <v>13</v>
      </c>
      <c r="D31" t="s">
        <v>10</v>
      </c>
      <c r="E31" t="s">
        <v>11</v>
      </c>
      <c r="F31">
        <v>301.98</v>
      </c>
      <c r="G31">
        <v>1</v>
      </c>
      <c r="H31">
        <v>-112.6</v>
      </c>
      <c r="I31">
        <f>YEAR(SalesData[[#This Row],[Order Date]])</f>
        <v>2023</v>
      </c>
    </row>
    <row r="32" spans="1:9" x14ac:dyDescent="0.25">
      <c r="A32" t="s">
        <v>53</v>
      </c>
      <c r="B32" s="1">
        <v>44856</v>
      </c>
      <c r="C32" t="s">
        <v>9</v>
      </c>
      <c r="D32" t="s">
        <v>17</v>
      </c>
      <c r="E32" t="s">
        <v>18</v>
      </c>
      <c r="F32">
        <v>74.94</v>
      </c>
      <c r="G32">
        <v>9</v>
      </c>
      <c r="H32">
        <v>-39.590000000000003</v>
      </c>
      <c r="I32">
        <f>YEAR(SalesData[[#This Row],[Order Date]])</f>
        <v>2022</v>
      </c>
    </row>
    <row r="33" spans="1:9" x14ac:dyDescent="0.25">
      <c r="A33" t="s">
        <v>54</v>
      </c>
      <c r="B33" s="1">
        <v>44592</v>
      </c>
      <c r="C33" t="s">
        <v>20</v>
      </c>
      <c r="D33" t="s">
        <v>17</v>
      </c>
      <c r="E33" t="s">
        <v>27</v>
      </c>
      <c r="F33">
        <v>975.13</v>
      </c>
      <c r="G33">
        <v>5</v>
      </c>
      <c r="H33">
        <v>246.11</v>
      </c>
      <c r="I33">
        <f>YEAR(SalesData[[#This Row],[Order Date]])</f>
        <v>2022</v>
      </c>
    </row>
    <row r="34" spans="1:9" x14ac:dyDescent="0.25">
      <c r="A34" t="s">
        <v>55</v>
      </c>
      <c r="B34" s="1">
        <v>45256</v>
      </c>
      <c r="C34" t="s">
        <v>20</v>
      </c>
      <c r="D34" t="s">
        <v>10</v>
      </c>
      <c r="E34" t="s">
        <v>14</v>
      </c>
      <c r="F34">
        <v>205.35</v>
      </c>
      <c r="G34">
        <v>2</v>
      </c>
      <c r="H34">
        <v>-48.5</v>
      </c>
      <c r="I34">
        <f>YEAR(SalesData[[#This Row],[Order Date]])</f>
        <v>2023</v>
      </c>
    </row>
    <row r="35" spans="1:9" x14ac:dyDescent="0.25">
      <c r="A35" t="s">
        <v>56</v>
      </c>
      <c r="B35" s="1">
        <v>44845</v>
      </c>
      <c r="C35" t="s">
        <v>9</v>
      </c>
      <c r="D35" t="s">
        <v>29</v>
      </c>
      <c r="E35" t="s">
        <v>30</v>
      </c>
      <c r="F35">
        <v>751.66</v>
      </c>
      <c r="G35">
        <v>9</v>
      </c>
      <c r="H35">
        <v>110.15</v>
      </c>
      <c r="I35">
        <f>YEAR(SalesData[[#This Row],[Order Date]])</f>
        <v>2022</v>
      </c>
    </row>
    <row r="36" spans="1:9" x14ac:dyDescent="0.25">
      <c r="A36" t="s">
        <v>57</v>
      </c>
      <c r="B36" s="1">
        <v>44900</v>
      </c>
      <c r="C36" t="s">
        <v>9</v>
      </c>
      <c r="D36" t="s">
        <v>29</v>
      </c>
      <c r="E36" t="s">
        <v>40</v>
      </c>
      <c r="F36">
        <v>516.66999999999996</v>
      </c>
      <c r="G36">
        <v>6</v>
      </c>
      <c r="H36">
        <v>224.95</v>
      </c>
      <c r="I36">
        <f>YEAR(SalesData[[#This Row],[Order Date]])</f>
        <v>2022</v>
      </c>
    </row>
    <row r="37" spans="1:9" x14ac:dyDescent="0.25">
      <c r="A37" t="s">
        <v>58</v>
      </c>
      <c r="B37" s="1">
        <v>45019</v>
      </c>
      <c r="C37" t="s">
        <v>16</v>
      </c>
      <c r="D37" t="s">
        <v>17</v>
      </c>
      <c r="E37" t="s">
        <v>27</v>
      </c>
      <c r="F37">
        <v>475.69</v>
      </c>
      <c r="G37">
        <v>9</v>
      </c>
      <c r="H37">
        <v>-193.87</v>
      </c>
      <c r="I37">
        <f>YEAR(SalesData[[#This Row],[Order Date]])</f>
        <v>2023</v>
      </c>
    </row>
    <row r="38" spans="1:9" x14ac:dyDescent="0.25">
      <c r="A38" t="s">
        <v>59</v>
      </c>
      <c r="B38" s="1">
        <v>45153</v>
      </c>
      <c r="C38" t="s">
        <v>9</v>
      </c>
      <c r="D38" t="s">
        <v>10</v>
      </c>
      <c r="E38" t="s">
        <v>11</v>
      </c>
      <c r="F38">
        <v>759.64</v>
      </c>
      <c r="G38">
        <v>8</v>
      </c>
      <c r="H38">
        <v>233.49</v>
      </c>
      <c r="I38">
        <f>YEAR(SalesData[[#This Row],[Order Date]])</f>
        <v>2023</v>
      </c>
    </row>
    <row r="39" spans="1:9" x14ac:dyDescent="0.25">
      <c r="A39" t="s">
        <v>60</v>
      </c>
      <c r="B39" s="1">
        <v>44886</v>
      </c>
      <c r="C39" t="s">
        <v>16</v>
      </c>
      <c r="D39" t="s">
        <v>10</v>
      </c>
      <c r="E39" t="s">
        <v>11</v>
      </c>
      <c r="F39">
        <v>439.35</v>
      </c>
      <c r="G39">
        <v>5</v>
      </c>
      <c r="H39">
        <v>103.5</v>
      </c>
      <c r="I39">
        <f>YEAR(SalesData[[#This Row],[Order Date]])</f>
        <v>2022</v>
      </c>
    </row>
    <row r="40" spans="1:9" x14ac:dyDescent="0.25">
      <c r="A40" t="s">
        <v>61</v>
      </c>
      <c r="B40" s="1">
        <v>44824</v>
      </c>
      <c r="C40" t="s">
        <v>16</v>
      </c>
      <c r="D40" t="s">
        <v>17</v>
      </c>
      <c r="E40" t="s">
        <v>62</v>
      </c>
      <c r="F40">
        <v>725.42</v>
      </c>
      <c r="G40">
        <v>7</v>
      </c>
      <c r="H40">
        <v>-16.8</v>
      </c>
      <c r="I40">
        <f>YEAR(SalesData[[#This Row],[Order Date]])</f>
        <v>2022</v>
      </c>
    </row>
    <row r="41" spans="1:9" x14ac:dyDescent="0.25">
      <c r="A41" t="s">
        <v>63</v>
      </c>
      <c r="B41" s="1">
        <v>44979</v>
      </c>
      <c r="C41" t="s">
        <v>20</v>
      </c>
      <c r="D41" t="s">
        <v>29</v>
      </c>
      <c r="E41" t="s">
        <v>50</v>
      </c>
      <c r="F41">
        <v>434.53</v>
      </c>
      <c r="G41">
        <v>9</v>
      </c>
      <c r="H41">
        <v>-106.42</v>
      </c>
      <c r="I41">
        <f>YEAR(SalesData[[#This Row],[Order Date]])</f>
        <v>2023</v>
      </c>
    </row>
    <row r="42" spans="1:9" x14ac:dyDescent="0.25">
      <c r="A42" t="s">
        <v>64</v>
      </c>
      <c r="B42" s="1">
        <v>44669</v>
      </c>
      <c r="C42" t="s">
        <v>20</v>
      </c>
      <c r="D42" t="s">
        <v>29</v>
      </c>
      <c r="E42" t="s">
        <v>40</v>
      </c>
      <c r="F42">
        <v>909.99</v>
      </c>
      <c r="G42">
        <v>1</v>
      </c>
      <c r="H42">
        <v>295.94</v>
      </c>
      <c r="I42">
        <f>YEAR(SalesData[[#This Row],[Order Date]])</f>
        <v>2022</v>
      </c>
    </row>
    <row r="43" spans="1:9" x14ac:dyDescent="0.25">
      <c r="A43" t="s">
        <v>65</v>
      </c>
      <c r="B43" s="1">
        <v>44721</v>
      </c>
      <c r="C43" t="s">
        <v>13</v>
      </c>
      <c r="D43" t="s">
        <v>29</v>
      </c>
      <c r="E43" t="s">
        <v>40</v>
      </c>
      <c r="F43">
        <v>385.07</v>
      </c>
      <c r="G43">
        <v>7</v>
      </c>
      <c r="H43">
        <v>266.39999999999998</v>
      </c>
      <c r="I43">
        <f>YEAR(SalesData[[#This Row],[Order Date]])</f>
        <v>2022</v>
      </c>
    </row>
    <row r="44" spans="1:9" x14ac:dyDescent="0.25">
      <c r="A44" t="s">
        <v>66</v>
      </c>
      <c r="B44" s="1">
        <v>44982</v>
      </c>
      <c r="C44" t="s">
        <v>16</v>
      </c>
      <c r="D44" t="s">
        <v>10</v>
      </c>
      <c r="E44" t="s">
        <v>14</v>
      </c>
      <c r="F44">
        <v>536.38</v>
      </c>
      <c r="G44">
        <v>4</v>
      </c>
      <c r="H44">
        <v>-127.66</v>
      </c>
      <c r="I44">
        <f>YEAR(SalesData[[#This Row],[Order Date]])</f>
        <v>2023</v>
      </c>
    </row>
    <row r="45" spans="1:9" x14ac:dyDescent="0.25">
      <c r="A45" t="s">
        <v>67</v>
      </c>
      <c r="B45" s="1">
        <v>45185</v>
      </c>
      <c r="C45" t="s">
        <v>16</v>
      </c>
      <c r="D45" t="s">
        <v>17</v>
      </c>
      <c r="E45" t="s">
        <v>27</v>
      </c>
      <c r="F45">
        <v>106.22</v>
      </c>
      <c r="G45">
        <v>5</v>
      </c>
      <c r="H45">
        <v>120.63</v>
      </c>
      <c r="I45">
        <f>YEAR(SalesData[[#This Row],[Order Date]])</f>
        <v>2023</v>
      </c>
    </row>
    <row r="46" spans="1:9" x14ac:dyDescent="0.25">
      <c r="A46" t="s">
        <v>68</v>
      </c>
      <c r="B46" s="1">
        <v>45148</v>
      </c>
      <c r="C46" t="s">
        <v>13</v>
      </c>
      <c r="D46" t="s">
        <v>29</v>
      </c>
      <c r="E46" t="s">
        <v>30</v>
      </c>
      <c r="F46">
        <v>369.6</v>
      </c>
      <c r="G46">
        <v>6</v>
      </c>
      <c r="H46">
        <v>107.21</v>
      </c>
      <c r="I46">
        <f>YEAR(SalesData[[#This Row],[Order Date]])</f>
        <v>2023</v>
      </c>
    </row>
    <row r="47" spans="1:9" x14ac:dyDescent="0.25">
      <c r="A47" t="s">
        <v>69</v>
      </c>
      <c r="B47" s="1">
        <v>45161</v>
      </c>
      <c r="C47" t="s">
        <v>13</v>
      </c>
      <c r="D47" t="s">
        <v>29</v>
      </c>
      <c r="E47" t="s">
        <v>40</v>
      </c>
      <c r="F47">
        <v>271.88</v>
      </c>
      <c r="G47">
        <v>1</v>
      </c>
      <c r="H47">
        <v>12.29</v>
      </c>
      <c r="I47">
        <f>YEAR(SalesData[[#This Row],[Order Date]])</f>
        <v>2023</v>
      </c>
    </row>
    <row r="48" spans="1:9" x14ac:dyDescent="0.25">
      <c r="A48" t="s">
        <v>70</v>
      </c>
      <c r="B48" s="1">
        <v>45171</v>
      </c>
      <c r="C48" t="s">
        <v>9</v>
      </c>
      <c r="D48" t="s">
        <v>29</v>
      </c>
      <c r="E48" t="s">
        <v>40</v>
      </c>
      <c r="F48">
        <v>844.72</v>
      </c>
      <c r="G48">
        <v>6</v>
      </c>
      <c r="H48">
        <v>53.09</v>
      </c>
      <c r="I48">
        <f>YEAR(SalesData[[#This Row],[Order Date]])</f>
        <v>2023</v>
      </c>
    </row>
    <row r="49" spans="1:9" x14ac:dyDescent="0.25">
      <c r="A49" t="s">
        <v>71</v>
      </c>
      <c r="B49" s="1">
        <v>44889</v>
      </c>
      <c r="C49" t="s">
        <v>13</v>
      </c>
      <c r="D49" t="s">
        <v>29</v>
      </c>
      <c r="E49" t="s">
        <v>40</v>
      </c>
      <c r="F49">
        <v>488.17</v>
      </c>
      <c r="G49">
        <v>2</v>
      </c>
      <c r="H49">
        <v>98.87</v>
      </c>
      <c r="I49">
        <f>YEAR(SalesData[[#This Row],[Order Date]])</f>
        <v>2022</v>
      </c>
    </row>
    <row r="50" spans="1:9" x14ac:dyDescent="0.25">
      <c r="A50" t="s">
        <v>72</v>
      </c>
      <c r="B50" s="1">
        <v>44821</v>
      </c>
      <c r="C50" t="s">
        <v>13</v>
      </c>
      <c r="D50" t="s">
        <v>10</v>
      </c>
      <c r="E50" t="s">
        <v>11</v>
      </c>
      <c r="F50">
        <v>346.41</v>
      </c>
      <c r="G50">
        <v>5</v>
      </c>
      <c r="H50">
        <v>193.92</v>
      </c>
      <c r="I50">
        <f>YEAR(SalesData[[#This Row],[Order Date]])</f>
        <v>2022</v>
      </c>
    </row>
    <row r="51" spans="1:9" x14ac:dyDescent="0.25">
      <c r="A51" t="s">
        <v>73</v>
      </c>
      <c r="B51" s="1">
        <v>45017</v>
      </c>
      <c r="C51" t="s">
        <v>9</v>
      </c>
      <c r="D51" t="s">
        <v>29</v>
      </c>
      <c r="E51" t="s">
        <v>40</v>
      </c>
      <c r="F51">
        <v>551.75</v>
      </c>
      <c r="G51">
        <v>9</v>
      </c>
      <c r="H51">
        <v>-41.06</v>
      </c>
      <c r="I51">
        <f>YEAR(SalesData[[#This Row],[Order Date]])</f>
        <v>2023</v>
      </c>
    </row>
    <row r="52" spans="1:9" x14ac:dyDescent="0.25">
      <c r="A52" t="s">
        <v>74</v>
      </c>
      <c r="B52" s="1">
        <v>44654</v>
      </c>
      <c r="C52" t="s">
        <v>20</v>
      </c>
      <c r="D52" t="s">
        <v>17</v>
      </c>
      <c r="E52" t="s">
        <v>27</v>
      </c>
      <c r="F52">
        <v>274.86</v>
      </c>
      <c r="G52">
        <v>1</v>
      </c>
      <c r="H52">
        <v>211.94</v>
      </c>
      <c r="I52">
        <f>YEAR(SalesData[[#This Row],[Order Date]])</f>
        <v>2022</v>
      </c>
    </row>
    <row r="53" spans="1:9" x14ac:dyDescent="0.25">
      <c r="A53" t="s">
        <v>75</v>
      </c>
      <c r="B53" s="1">
        <v>44972</v>
      </c>
      <c r="C53" t="s">
        <v>13</v>
      </c>
      <c r="D53" t="s">
        <v>29</v>
      </c>
      <c r="E53" t="s">
        <v>30</v>
      </c>
      <c r="F53">
        <v>687.37</v>
      </c>
      <c r="G53">
        <v>5</v>
      </c>
      <c r="H53">
        <v>149.28</v>
      </c>
      <c r="I53">
        <f>YEAR(SalesData[[#This Row],[Order Date]])</f>
        <v>2023</v>
      </c>
    </row>
    <row r="54" spans="1:9" x14ac:dyDescent="0.25">
      <c r="A54" t="s">
        <v>76</v>
      </c>
      <c r="B54" s="1">
        <v>44765</v>
      </c>
      <c r="C54" t="s">
        <v>13</v>
      </c>
      <c r="D54" t="s">
        <v>29</v>
      </c>
      <c r="E54" t="s">
        <v>40</v>
      </c>
      <c r="F54">
        <v>69.2</v>
      </c>
      <c r="G54">
        <v>7</v>
      </c>
      <c r="H54">
        <v>-59.51</v>
      </c>
      <c r="I54">
        <f>YEAR(SalesData[[#This Row],[Order Date]])</f>
        <v>2022</v>
      </c>
    </row>
    <row r="55" spans="1:9" x14ac:dyDescent="0.25">
      <c r="A55" t="s">
        <v>77</v>
      </c>
      <c r="B55" s="1">
        <v>45066</v>
      </c>
      <c r="C55" t="s">
        <v>13</v>
      </c>
      <c r="D55" t="s">
        <v>17</v>
      </c>
      <c r="E55" t="s">
        <v>62</v>
      </c>
      <c r="F55">
        <v>125.38</v>
      </c>
      <c r="G55">
        <v>2</v>
      </c>
      <c r="H55">
        <v>-75.12</v>
      </c>
      <c r="I55">
        <f>YEAR(SalesData[[#This Row],[Order Date]])</f>
        <v>2023</v>
      </c>
    </row>
    <row r="56" spans="1:9" x14ac:dyDescent="0.25">
      <c r="A56" t="s">
        <v>78</v>
      </c>
      <c r="B56" s="1">
        <v>44717</v>
      </c>
      <c r="C56" t="s">
        <v>9</v>
      </c>
      <c r="D56" t="s">
        <v>10</v>
      </c>
      <c r="E56" t="s">
        <v>11</v>
      </c>
      <c r="F56">
        <v>75.16</v>
      </c>
      <c r="G56">
        <v>9</v>
      </c>
      <c r="H56">
        <v>22.74</v>
      </c>
      <c r="I56">
        <f>YEAR(SalesData[[#This Row],[Order Date]])</f>
        <v>2022</v>
      </c>
    </row>
    <row r="57" spans="1:9" x14ac:dyDescent="0.25">
      <c r="A57" t="s">
        <v>79</v>
      </c>
      <c r="B57" s="1">
        <v>45230</v>
      </c>
      <c r="C57" t="s">
        <v>16</v>
      </c>
      <c r="D57" t="s">
        <v>29</v>
      </c>
      <c r="E57" t="s">
        <v>50</v>
      </c>
      <c r="F57">
        <v>808.59</v>
      </c>
      <c r="G57">
        <v>7</v>
      </c>
      <c r="H57">
        <v>273.07</v>
      </c>
      <c r="I57">
        <f>YEAR(SalesData[[#This Row],[Order Date]])</f>
        <v>2023</v>
      </c>
    </row>
    <row r="58" spans="1:9" x14ac:dyDescent="0.25">
      <c r="A58" t="s">
        <v>80</v>
      </c>
      <c r="B58" s="1">
        <v>45027</v>
      </c>
      <c r="C58" t="s">
        <v>20</v>
      </c>
      <c r="D58" t="s">
        <v>10</v>
      </c>
      <c r="E58" t="s">
        <v>24</v>
      </c>
      <c r="F58">
        <v>875.16</v>
      </c>
      <c r="G58">
        <v>3</v>
      </c>
      <c r="H58">
        <v>117.11</v>
      </c>
      <c r="I58">
        <f>YEAR(SalesData[[#This Row],[Order Date]])</f>
        <v>2023</v>
      </c>
    </row>
    <row r="59" spans="1:9" x14ac:dyDescent="0.25">
      <c r="A59" t="s">
        <v>81</v>
      </c>
      <c r="B59" s="1">
        <v>45159</v>
      </c>
      <c r="C59" t="s">
        <v>20</v>
      </c>
      <c r="D59" t="s">
        <v>10</v>
      </c>
      <c r="E59" t="s">
        <v>11</v>
      </c>
      <c r="F59">
        <v>296.24</v>
      </c>
      <c r="G59">
        <v>7</v>
      </c>
      <c r="H59">
        <v>24.97</v>
      </c>
      <c r="I59">
        <f>YEAR(SalesData[[#This Row],[Order Date]])</f>
        <v>2023</v>
      </c>
    </row>
    <row r="60" spans="1:9" x14ac:dyDescent="0.25">
      <c r="A60" t="s">
        <v>82</v>
      </c>
      <c r="B60" s="1">
        <v>45215</v>
      </c>
      <c r="C60" t="s">
        <v>13</v>
      </c>
      <c r="D60" t="s">
        <v>10</v>
      </c>
      <c r="E60" t="s">
        <v>14</v>
      </c>
      <c r="F60">
        <v>261.2</v>
      </c>
      <c r="G60">
        <v>2</v>
      </c>
      <c r="H60">
        <v>-174.24</v>
      </c>
      <c r="I60">
        <f>YEAR(SalesData[[#This Row],[Order Date]])</f>
        <v>2023</v>
      </c>
    </row>
    <row r="61" spans="1:9" x14ac:dyDescent="0.25">
      <c r="A61" t="s">
        <v>83</v>
      </c>
      <c r="B61" s="1">
        <v>44793</v>
      </c>
      <c r="C61" t="s">
        <v>20</v>
      </c>
      <c r="D61" t="s">
        <v>10</v>
      </c>
      <c r="E61" t="s">
        <v>14</v>
      </c>
      <c r="F61">
        <v>135.22999999999999</v>
      </c>
      <c r="G61">
        <v>7</v>
      </c>
      <c r="H61">
        <v>91.96</v>
      </c>
      <c r="I61">
        <f>YEAR(SalesData[[#This Row],[Order Date]])</f>
        <v>2022</v>
      </c>
    </row>
    <row r="62" spans="1:9" x14ac:dyDescent="0.25">
      <c r="A62" t="s">
        <v>84</v>
      </c>
      <c r="B62" s="1">
        <v>45158</v>
      </c>
      <c r="C62" t="s">
        <v>16</v>
      </c>
      <c r="D62" t="s">
        <v>10</v>
      </c>
      <c r="E62" t="s">
        <v>14</v>
      </c>
      <c r="F62">
        <v>929.3</v>
      </c>
      <c r="G62">
        <v>9</v>
      </c>
      <c r="H62">
        <v>64.430000000000007</v>
      </c>
      <c r="I62">
        <f>YEAR(SalesData[[#This Row],[Order Date]])</f>
        <v>2023</v>
      </c>
    </row>
    <row r="63" spans="1:9" x14ac:dyDescent="0.25">
      <c r="A63" t="s">
        <v>85</v>
      </c>
      <c r="B63" s="1">
        <v>44890</v>
      </c>
      <c r="C63" t="s">
        <v>9</v>
      </c>
      <c r="D63" t="s">
        <v>17</v>
      </c>
      <c r="E63" t="s">
        <v>27</v>
      </c>
      <c r="F63">
        <v>947.7</v>
      </c>
      <c r="G63">
        <v>6</v>
      </c>
      <c r="H63">
        <v>233.35</v>
      </c>
      <c r="I63">
        <f>YEAR(SalesData[[#This Row],[Order Date]])</f>
        <v>2022</v>
      </c>
    </row>
    <row r="64" spans="1:9" x14ac:dyDescent="0.25">
      <c r="A64" t="s">
        <v>86</v>
      </c>
      <c r="B64" s="1">
        <v>44674</v>
      </c>
      <c r="C64" t="s">
        <v>13</v>
      </c>
      <c r="D64" t="s">
        <v>29</v>
      </c>
      <c r="E64" t="s">
        <v>50</v>
      </c>
      <c r="F64">
        <v>80.569999999999993</v>
      </c>
      <c r="G64">
        <v>7</v>
      </c>
      <c r="H64">
        <v>155.38</v>
      </c>
      <c r="I64">
        <f>YEAR(SalesData[[#This Row],[Order Date]])</f>
        <v>2022</v>
      </c>
    </row>
    <row r="65" spans="1:9" x14ac:dyDescent="0.25">
      <c r="A65" t="s">
        <v>87</v>
      </c>
      <c r="B65" s="1">
        <v>44669</v>
      </c>
      <c r="C65" t="s">
        <v>16</v>
      </c>
      <c r="D65" t="s">
        <v>17</v>
      </c>
      <c r="E65" t="s">
        <v>27</v>
      </c>
      <c r="F65">
        <v>491.67</v>
      </c>
      <c r="G65">
        <v>8</v>
      </c>
      <c r="H65">
        <v>75.48</v>
      </c>
      <c r="I65">
        <f>YEAR(SalesData[[#This Row],[Order Date]])</f>
        <v>2022</v>
      </c>
    </row>
    <row r="66" spans="1:9" x14ac:dyDescent="0.25">
      <c r="A66" t="s">
        <v>88</v>
      </c>
      <c r="B66" s="1">
        <v>45242</v>
      </c>
      <c r="C66" t="s">
        <v>16</v>
      </c>
      <c r="D66" t="s">
        <v>17</v>
      </c>
      <c r="E66" t="s">
        <v>27</v>
      </c>
      <c r="F66">
        <v>642.72</v>
      </c>
      <c r="G66">
        <v>7</v>
      </c>
      <c r="H66">
        <v>193.29</v>
      </c>
      <c r="I66">
        <f>YEAR(SalesData[[#This Row],[Order Date]])</f>
        <v>2023</v>
      </c>
    </row>
    <row r="67" spans="1:9" x14ac:dyDescent="0.25">
      <c r="A67" t="s">
        <v>89</v>
      </c>
      <c r="B67" s="1">
        <v>45005</v>
      </c>
      <c r="C67" t="s">
        <v>9</v>
      </c>
      <c r="D67" t="s">
        <v>17</v>
      </c>
      <c r="E67" t="s">
        <v>18</v>
      </c>
      <c r="F67">
        <v>465.48</v>
      </c>
      <c r="G67">
        <v>2</v>
      </c>
      <c r="H67">
        <v>33.47</v>
      </c>
      <c r="I67">
        <f>YEAR(SalesData[[#This Row],[Order Date]])</f>
        <v>2023</v>
      </c>
    </row>
    <row r="68" spans="1:9" x14ac:dyDescent="0.25">
      <c r="A68" t="s">
        <v>90</v>
      </c>
      <c r="B68" s="1">
        <v>45054</v>
      </c>
      <c r="C68" t="s">
        <v>13</v>
      </c>
      <c r="D68" t="s">
        <v>29</v>
      </c>
      <c r="E68" t="s">
        <v>30</v>
      </c>
      <c r="F68">
        <v>45.34</v>
      </c>
      <c r="G68">
        <v>6</v>
      </c>
      <c r="H68">
        <v>91.06</v>
      </c>
      <c r="I68">
        <f>YEAR(SalesData[[#This Row],[Order Date]])</f>
        <v>2023</v>
      </c>
    </row>
    <row r="69" spans="1:9" x14ac:dyDescent="0.25">
      <c r="A69" t="s">
        <v>91</v>
      </c>
      <c r="B69" s="1">
        <v>45167</v>
      </c>
      <c r="C69" t="s">
        <v>16</v>
      </c>
      <c r="D69" t="s">
        <v>17</v>
      </c>
      <c r="E69" t="s">
        <v>62</v>
      </c>
      <c r="F69">
        <v>935.18</v>
      </c>
      <c r="G69">
        <v>3</v>
      </c>
      <c r="H69">
        <v>-81.89</v>
      </c>
      <c r="I69">
        <f>YEAR(SalesData[[#This Row],[Order Date]])</f>
        <v>2023</v>
      </c>
    </row>
    <row r="70" spans="1:9" x14ac:dyDescent="0.25">
      <c r="A70" t="s">
        <v>92</v>
      </c>
      <c r="B70" s="1">
        <v>45037</v>
      </c>
      <c r="C70" t="s">
        <v>13</v>
      </c>
      <c r="D70" t="s">
        <v>17</v>
      </c>
      <c r="E70" t="s">
        <v>18</v>
      </c>
      <c r="F70">
        <v>104.17</v>
      </c>
      <c r="G70">
        <v>3</v>
      </c>
      <c r="H70">
        <v>134.68</v>
      </c>
      <c r="I70">
        <f>YEAR(SalesData[[#This Row],[Order Date]])</f>
        <v>2023</v>
      </c>
    </row>
    <row r="71" spans="1:9" x14ac:dyDescent="0.25">
      <c r="A71" t="s">
        <v>93</v>
      </c>
      <c r="B71" s="1">
        <v>45220</v>
      </c>
      <c r="C71" t="s">
        <v>16</v>
      </c>
      <c r="D71" t="s">
        <v>10</v>
      </c>
      <c r="E71" t="s">
        <v>11</v>
      </c>
      <c r="F71">
        <v>588.11</v>
      </c>
      <c r="G71">
        <v>8</v>
      </c>
      <c r="H71">
        <v>116.48</v>
      </c>
      <c r="I71">
        <f>YEAR(SalesData[[#This Row],[Order Date]])</f>
        <v>2023</v>
      </c>
    </row>
    <row r="72" spans="1:9" x14ac:dyDescent="0.25">
      <c r="A72" t="s">
        <v>94</v>
      </c>
      <c r="B72" s="1">
        <v>45101</v>
      </c>
      <c r="C72" t="s">
        <v>9</v>
      </c>
      <c r="D72" t="s">
        <v>17</v>
      </c>
      <c r="E72" t="s">
        <v>18</v>
      </c>
      <c r="F72">
        <v>980.95</v>
      </c>
      <c r="G72">
        <v>7</v>
      </c>
      <c r="H72">
        <v>-135.02000000000001</v>
      </c>
      <c r="I72">
        <f>YEAR(SalesData[[#This Row],[Order Date]])</f>
        <v>2023</v>
      </c>
    </row>
    <row r="73" spans="1:9" x14ac:dyDescent="0.25">
      <c r="A73" t="s">
        <v>95</v>
      </c>
      <c r="B73" s="1">
        <v>44656</v>
      </c>
      <c r="C73" t="s">
        <v>20</v>
      </c>
      <c r="D73" t="s">
        <v>17</v>
      </c>
      <c r="E73" t="s">
        <v>62</v>
      </c>
      <c r="F73">
        <v>297.13</v>
      </c>
      <c r="G73">
        <v>9</v>
      </c>
      <c r="H73">
        <v>-51.99</v>
      </c>
      <c r="I73">
        <f>YEAR(SalesData[[#This Row],[Order Date]])</f>
        <v>2022</v>
      </c>
    </row>
    <row r="74" spans="1:9" x14ac:dyDescent="0.25">
      <c r="A74" t="s">
        <v>96</v>
      </c>
      <c r="B74" s="1">
        <v>44688</v>
      </c>
      <c r="C74" t="s">
        <v>16</v>
      </c>
      <c r="D74" t="s">
        <v>17</v>
      </c>
      <c r="E74" t="s">
        <v>18</v>
      </c>
      <c r="F74">
        <v>415.2</v>
      </c>
      <c r="G74">
        <v>1</v>
      </c>
      <c r="H74">
        <v>92.78</v>
      </c>
      <c r="I74">
        <f>YEAR(SalesData[[#This Row],[Order Date]])</f>
        <v>2022</v>
      </c>
    </row>
    <row r="75" spans="1:9" x14ac:dyDescent="0.25">
      <c r="A75" t="s">
        <v>97</v>
      </c>
      <c r="B75" s="1">
        <v>44703</v>
      </c>
      <c r="C75" t="s">
        <v>20</v>
      </c>
      <c r="D75" t="s">
        <v>29</v>
      </c>
      <c r="E75" t="s">
        <v>30</v>
      </c>
      <c r="F75">
        <v>346.37</v>
      </c>
      <c r="G75">
        <v>4</v>
      </c>
      <c r="H75">
        <v>-25.92</v>
      </c>
      <c r="I75">
        <f>YEAR(SalesData[[#This Row],[Order Date]])</f>
        <v>2022</v>
      </c>
    </row>
    <row r="76" spans="1:9" x14ac:dyDescent="0.25">
      <c r="A76" t="s">
        <v>98</v>
      </c>
      <c r="B76" s="1">
        <v>45169</v>
      </c>
      <c r="C76" t="s">
        <v>13</v>
      </c>
      <c r="D76" t="s">
        <v>17</v>
      </c>
      <c r="E76" t="s">
        <v>27</v>
      </c>
      <c r="F76">
        <v>285.5</v>
      </c>
      <c r="G76">
        <v>7</v>
      </c>
      <c r="H76">
        <v>-76.569999999999993</v>
      </c>
      <c r="I76">
        <f>YEAR(SalesData[[#This Row],[Order Date]])</f>
        <v>2023</v>
      </c>
    </row>
    <row r="77" spans="1:9" x14ac:dyDescent="0.25">
      <c r="A77" t="s">
        <v>99</v>
      </c>
      <c r="B77" s="1">
        <v>45254</v>
      </c>
      <c r="C77" t="s">
        <v>13</v>
      </c>
      <c r="D77" t="s">
        <v>17</v>
      </c>
      <c r="E77" t="s">
        <v>62</v>
      </c>
      <c r="F77">
        <v>165.01</v>
      </c>
      <c r="G77">
        <v>10</v>
      </c>
      <c r="H77">
        <v>188.43</v>
      </c>
      <c r="I77">
        <f>YEAR(SalesData[[#This Row],[Order Date]])</f>
        <v>2023</v>
      </c>
    </row>
    <row r="78" spans="1:9" x14ac:dyDescent="0.25">
      <c r="A78" t="s">
        <v>100</v>
      </c>
      <c r="B78" s="1">
        <v>44741</v>
      </c>
      <c r="C78" t="s">
        <v>16</v>
      </c>
      <c r="D78" t="s">
        <v>10</v>
      </c>
      <c r="E78" t="s">
        <v>24</v>
      </c>
      <c r="F78">
        <v>800.66</v>
      </c>
      <c r="G78">
        <v>7</v>
      </c>
      <c r="H78">
        <v>93.09</v>
      </c>
      <c r="I78">
        <f>YEAR(SalesData[[#This Row],[Order Date]])</f>
        <v>2022</v>
      </c>
    </row>
    <row r="79" spans="1:9" x14ac:dyDescent="0.25">
      <c r="A79" t="s">
        <v>101</v>
      </c>
      <c r="B79" s="1">
        <v>45004</v>
      </c>
      <c r="C79" t="s">
        <v>20</v>
      </c>
      <c r="D79" t="s">
        <v>17</v>
      </c>
      <c r="E79" t="s">
        <v>27</v>
      </c>
      <c r="F79">
        <v>930.58</v>
      </c>
      <c r="G79">
        <v>3</v>
      </c>
      <c r="H79">
        <v>-45.29</v>
      </c>
      <c r="I79">
        <f>YEAR(SalesData[[#This Row],[Order Date]])</f>
        <v>2023</v>
      </c>
    </row>
    <row r="80" spans="1:9" x14ac:dyDescent="0.25">
      <c r="A80" t="s">
        <v>102</v>
      </c>
      <c r="B80" s="1">
        <v>44994</v>
      </c>
      <c r="C80" t="s">
        <v>16</v>
      </c>
      <c r="D80" t="s">
        <v>29</v>
      </c>
      <c r="E80" t="s">
        <v>50</v>
      </c>
      <c r="F80">
        <v>453.72</v>
      </c>
      <c r="G80">
        <v>2</v>
      </c>
      <c r="H80">
        <v>236.27</v>
      </c>
      <c r="I80">
        <f>YEAR(SalesData[[#This Row],[Order Date]])</f>
        <v>2023</v>
      </c>
    </row>
    <row r="81" spans="1:9" x14ac:dyDescent="0.25">
      <c r="A81" t="s">
        <v>103</v>
      </c>
      <c r="B81" s="1">
        <v>44742</v>
      </c>
      <c r="C81" t="s">
        <v>13</v>
      </c>
      <c r="D81" t="s">
        <v>10</v>
      </c>
      <c r="E81" t="s">
        <v>11</v>
      </c>
      <c r="F81">
        <v>633.44000000000005</v>
      </c>
      <c r="G81">
        <v>5</v>
      </c>
      <c r="H81">
        <v>172.93</v>
      </c>
      <c r="I81">
        <f>YEAR(SalesData[[#This Row],[Order Date]])</f>
        <v>2022</v>
      </c>
    </row>
    <row r="82" spans="1:9" x14ac:dyDescent="0.25">
      <c r="A82" t="s">
        <v>104</v>
      </c>
      <c r="B82" s="1">
        <v>44984</v>
      </c>
      <c r="C82" t="s">
        <v>13</v>
      </c>
      <c r="D82" t="s">
        <v>17</v>
      </c>
      <c r="E82" t="s">
        <v>18</v>
      </c>
      <c r="F82">
        <v>923.6</v>
      </c>
      <c r="G82">
        <v>3</v>
      </c>
      <c r="H82">
        <v>153.16</v>
      </c>
      <c r="I82">
        <f>YEAR(SalesData[[#This Row],[Order Date]])</f>
        <v>2023</v>
      </c>
    </row>
    <row r="83" spans="1:9" x14ac:dyDescent="0.25">
      <c r="A83" t="s">
        <v>105</v>
      </c>
      <c r="B83" s="1">
        <v>44913</v>
      </c>
      <c r="C83" t="s">
        <v>9</v>
      </c>
      <c r="D83" t="s">
        <v>10</v>
      </c>
      <c r="E83" t="s">
        <v>24</v>
      </c>
      <c r="F83">
        <v>575.4</v>
      </c>
      <c r="G83">
        <v>10</v>
      </c>
      <c r="H83">
        <v>284.27</v>
      </c>
      <c r="I83">
        <f>YEAR(SalesData[[#This Row],[Order Date]])</f>
        <v>2022</v>
      </c>
    </row>
    <row r="84" spans="1:9" x14ac:dyDescent="0.25">
      <c r="A84" t="s">
        <v>106</v>
      </c>
      <c r="B84" s="1">
        <v>45255</v>
      </c>
      <c r="C84" t="s">
        <v>13</v>
      </c>
      <c r="D84" t="s">
        <v>17</v>
      </c>
      <c r="E84" t="s">
        <v>27</v>
      </c>
      <c r="F84">
        <v>874.04</v>
      </c>
      <c r="G84">
        <v>10</v>
      </c>
      <c r="H84">
        <v>-58.97</v>
      </c>
      <c r="I84">
        <f>YEAR(SalesData[[#This Row],[Order Date]])</f>
        <v>2023</v>
      </c>
    </row>
    <row r="85" spans="1:9" x14ac:dyDescent="0.25">
      <c r="A85" t="s">
        <v>107</v>
      </c>
      <c r="B85" s="1">
        <v>44632</v>
      </c>
      <c r="C85" t="s">
        <v>20</v>
      </c>
      <c r="D85" t="s">
        <v>17</v>
      </c>
      <c r="E85" t="s">
        <v>62</v>
      </c>
      <c r="F85">
        <v>883.35</v>
      </c>
      <c r="G85">
        <v>1</v>
      </c>
      <c r="H85">
        <v>184.09</v>
      </c>
      <c r="I85">
        <f>YEAR(SalesData[[#This Row],[Order Date]])</f>
        <v>2022</v>
      </c>
    </row>
    <row r="86" spans="1:9" x14ac:dyDescent="0.25">
      <c r="A86" t="s">
        <v>108</v>
      </c>
      <c r="B86" s="1">
        <v>44763</v>
      </c>
      <c r="C86" t="s">
        <v>9</v>
      </c>
      <c r="D86" t="s">
        <v>17</v>
      </c>
      <c r="E86" t="s">
        <v>27</v>
      </c>
      <c r="F86">
        <v>294.69</v>
      </c>
      <c r="G86">
        <v>3</v>
      </c>
      <c r="H86">
        <v>189.38</v>
      </c>
      <c r="I86">
        <f>YEAR(SalesData[[#This Row],[Order Date]])</f>
        <v>2022</v>
      </c>
    </row>
    <row r="87" spans="1:9" x14ac:dyDescent="0.25">
      <c r="A87" t="s">
        <v>109</v>
      </c>
      <c r="B87" s="1">
        <v>44721</v>
      </c>
      <c r="C87" t="s">
        <v>20</v>
      </c>
      <c r="D87" t="s">
        <v>29</v>
      </c>
      <c r="E87" t="s">
        <v>30</v>
      </c>
      <c r="F87">
        <v>248.11</v>
      </c>
      <c r="G87">
        <v>8</v>
      </c>
      <c r="H87">
        <v>287.86</v>
      </c>
      <c r="I87">
        <f>YEAR(SalesData[[#This Row],[Order Date]])</f>
        <v>2022</v>
      </c>
    </row>
    <row r="88" spans="1:9" x14ac:dyDescent="0.25">
      <c r="A88" t="s">
        <v>110</v>
      </c>
      <c r="B88" s="1">
        <v>45107</v>
      </c>
      <c r="C88" t="s">
        <v>20</v>
      </c>
      <c r="D88" t="s">
        <v>10</v>
      </c>
      <c r="E88" t="s">
        <v>14</v>
      </c>
      <c r="F88">
        <v>950.06</v>
      </c>
      <c r="G88">
        <v>3</v>
      </c>
      <c r="H88">
        <v>53.46</v>
      </c>
      <c r="I88">
        <f>YEAR(SalesData[[#This Row],[Order Date]])</f>
        <v>2023</v>
      </c>
    </row>
    <row r="89" spans="1:9" x14ac:dyDescent="0.25">
      <c r="A89" t="s">
        <v>111</v>
      </c>
      <c r="B89" s="1">
        <v>44906</v>
      </c>
      <c r="C89" t="s">
        <v>16</v>
      </c>
      <c r="D89" t="s">
        <v>17</v>
      </c>
      <c r="E89" t="s">
        <v>27</v>
      </c>
      <c r="F89">
        <v>592.47</v>
      </c>
      <c r="G89">
        <v>9</v>
      </c>
      <c r="H89">
        <v>87.48</v>
      </c>
      <c r="I89">
        <f>YEAR(SalesData[[#This Row],[Order Date]])</f>
        <v>2022</v>
      </c>
    </row>
    <row r="90" spans="1:9" x14ac:dyDescent="0.25">
      <c r="A90" t="s">
        <v>112</v>
      </c>
      <c r="B90" s="1">
        <v>45213</v>
      </c>
      <c r="C90" t="s">
        <v>20</v>
      </c>
      <c r="D90" t="s">
        <v>29</v>
      </c>
      <c r="E90" t="s">
        <v>50</v>
      </c>
      <c r="F90">
        <v>777.51</v>
      </c>
      <c r="G90">
        <v>1</v>
      </c>
      <c r="H90">
        <v>-14.62</v>
      </c>
      <c r="I90">
        <f>YEAR(SalesData[[#This Row],[Order Date]])</f>
        <v>2023</v>
      </c>
    </row>
    <row r="91" spans="1:9" x14ac:dyDescent="0.25">
      <c r="A91" t="s">
        <v>113</v>
      </c>
      <c r="B91" s="1">
        <v>44624</v>
      </c>
      <c r="C91" t="s">
        <v>20</v>
      </c>
      <c r="D91" t="s">
        <v>17</v>
      </c>
      <c r="E91" t="s">
        <v>62</v>
      </c>
      <c r="F91">
        <v>928.75</v>
      </c>
      <c r="G91">
        <v>7</v>
      </c>
      <c r="H91">
        <v>-182.3</v>
      </c>
      <c r="I91">
        <f>YEAR(SalesData[[#This Row],[Order Date]])</f>
        <v>2022</v>
      </c>
    </row>
    <row r="92" spans="1:9" x14ac:dyDescent="0.25">
      <c r="A92" t="s">
        <v>114</v>
      </c>
      <c r="B92" s="1">
        <v>45273</v>
      </c>
      <c r="C92" t="s">
        <v>20</v>
      </c>
      <c r="D92" t="s">
        <v>17</v>
      </c>
      <c r="E92" t="s">
        <v>27</v>
      </c>
      <c r="F92">
        <v>295.83</v>
      </c>
      <c r="G92">
        <v>8</v>
      </c>
      <c r="H92">
        <v>-189.46</v>
      </c>
      <c r="I92">
        <f>YEAR(SalesData[[#This Row],[Order Date]])</f>
        <v>2023</v>
      </c>
    </row>
    <row r="93" spans="1:9" x14ac:dyDescent="0.25">
      <c r="A93" t="s">
        <v>115</v>
      </c>
      <c r="B93" s="1">
        <v>44991</v>
      </c>
      <c r="C93" t="s">
        <v>9</v>
      </c>
      <c r="D93" t="s">
        <v>10</v>
      </c>
      <c r="E93" t="s">
        <v>14</v>
      </c>
      <c r="F93">
        <v>248.52</v>
      </c>
      <c r="G93">
        <v>9</v>
      </c>
      <c r="H93">
        <v>198.28</v>
      </c>
      <c r="I93">
        <f>YEAR(SalesData[[#This Row],[Order Date]])</f>
        <v>2023</v>
      </c>
    </row>
    <row r="94" spans="1:9" x14ac:dyDescent="0.25">
      <c r="A94" t="s">
        <v>116</v>
      </c>
      <c r="B94" s="1">
        <v>44986</v>
      </c>
      <c r="C94" t="s">
        <v>13</v>
      </c>
      <c r="D94" t="s">
        <v>17</v>
      </c>
      <c r="E94" t="s">
        <v>27</v>
      </c>
      <c r="F94">
        <v>644.69000000000005</v>
      </c>
      <c r="G94">
        <v>10</v>
      </c>
      <c r="H94">
        <v>-1.23</v>
      </c>
      <c r="I94">
        <f>YEAR(SalesData[[#This Row],[Order Date]])</f>
        <v>2023</v>
      </c>
    </row>
    <row r="95" spans="1:9" x14ac:dyDescent="0.25">
      <c r="A95" t="s">
        <v>117</v>
      </c>
      <c r="B95" s="1">
        <v>44968</v>
      </c>
      <c r="C95" t="s">
        <v>20</v>
      </c>
      <c r="D95" t="s">
        <v>17</v>
      </c>
      <c r="E95" t="s">
        <v>62</v>
      </c>
      <c r="F95">
        <v>950.67</v>
      </c>
      <c r="G95">
        <v>9</v>
      </c>
      <c r="H95">
        <v>209.69</v>
      </c>
      <c r="I95">
        <f>YEAR(SalesData[[#This Row],[Order Date]])</f>
        <v>2023</v>
      </c>
    </row>
    <row r="96" spans="1:9" x14ac:dyDescent="0.25">
      <c r="A96" t="s">
        <v>118</v>
      </c>
      <c r="B96" s="1">
        <v>44616</v>
      </c>
      <c r="C96" t="s">
        <v>16</v>
      </c>
      <c r="D96" t="s">
        <v>17</v>
      </c>
      <c r="E96" t="s">
        <v>18</v>
      </c>
      <c r="F96">
        <v>496.67</v>
      </c>
      <c r="G96">
        <v>2</v>
      </c>
      <c r="H96">
        <v>-15.01</v>
      </c>
      <c r="I96">
        <f>YEAR(SalesData[[#This Row],[Order Date]])</f>
        <v>2022</v>
      </c>
    </row>
    <row r="97" spans="1:9" x14ac:dyDescent="0.25">
      <c r="A97" t="s">
        <v>119</v>
      </c>
      <c r="B97" s="1">
        <v>44827</v>
      </c>
      <c r="C97" t="s">
        <v>20</v>
      </c>
      <c r="D97" t="s">
        <v>17</v>
      </c>
      <c r="E97" t="s">
        <v>18</v>
      </c>
      <c r="F97">
        <v>334.67</v>
      </c>
      <c r="G97">
        <v>6</v>
      </c>
      <c r="H97">
        <v>116.03</v>
      </c>
      <c r="I97">
        <f>YEAR(SalesData[[#This Row],[Order Date]])</f>
        <v>2022</v>
      </c>
    </row>
    <row r="98" spans="1:9" x14ac:dyDescent="0.25">
      <c r="A98" t="s">
        <v>120</v>
      </c>
      <c r="B98" s="1">
        <v>44957</v>
      </c>
      <c r="C98" t="s">
        <v>9</v>
      </c>
      <c r="D98" t="s">
        <v>17</v>
      </c>
      <c r="E98" t="s">
        <v>27</v>
      </c>
      <c r="F98">
        <v>467.63</v>
      </c>
      <c r="G98">
        <v>5</v>
      </c>
      <c r="H98">
        <v>281.95</v>
      </c>
      <c r="I98">
        <f>YEAR(SalesData[[#This Row],[Order Date]])</f>
        <v>2023</v>
      </c>
    </row>
    <row r="99" spans="1:9" x14ac:dyDescent="0.25">
      <c r="A99" t="s">
        <v>121</v>
      </c>
      <c r="B99" s="1">
        <v>44582</v>
      </c>
      <c r="C99" t="s">
        <v>20</v>
      </c>
      <c r="D99" t="s">
        <v>29</v>
      </c>
      <c r="E99" t="s">
        <v>30</v>
      </c>
      <c r="F99">
        <v>539.57000000000005</v>
      </c>
      <c r="G99">
        <v>6</v>
      </c>
      <c r="H99">
        <v>211.58</v>
      </c>
      <c r="I99">
        <f>YEAR(SalesData[[#This Row],[Order Date]])</f>
        <v>2022</v>
      </c>
    </row>
    <row r="100" spans="1:9" x14ac:dyDescent="0.25">
      <c r="A100" t="s">
        <v>122</v>
      </c>
      <c r="B100" s="1">
        <v>44660</v>
      </c>
      <c r="C100" t="s">
        <v>20</v>
      </c>
      <c r="D100" t="s">
        <v>29</v>
      </c>
      <c r="E100" t="s">
        <v>30</v>
      </c>
      <c r="F100">
        <v>627.6</v>
      </c>
      <c r="G100">
        <v>7</v>
      </c>
      <c r="H100">
        <v>-133.09</v>
      </c>
      <c r="I100">
        <f>YEAR(SalesData[[#This Row],[Order Date]])</f>
        <v>2022</v>
      </c>
    </row>
    <row r="101" spans="1:9" x14ac:dyDescent="0.25">
      <c r="A101" t="s">
        <v>123</v>
      </c>
      <c r="B101" s="1">
        <v>44697</v>
      </c>
      <c r="C101" t="s">
        <v>20</v>
      </c>
      <c r="D101" t="s">
        <v>17</v>
      </c>
      <c r="E101" t="s">
        <v>27</v>
      </c>
      <c r="F101">
        <v>323.52</v>
      </c>
      <c r="G101">
        <v>5</v>
      </c>
      <c r="H101">
        <v>84.39</v>
      </c>
      <c r="I101">
        <f>YEAR(SalesData[[#This Row],[Order Date]])</f>
        <v>2022</v>
      </c>
    </row>
    <row r="102" spans="1:9" x14ac:dyDescent="0.25">
      <c r="A102" t="s">
        <v>124</v>
      </c>
      <c r="B102" s="1">
        <v>44866</v>
      </c>
      <c r="C102" t="s">
        <v>13</v>
      </c>
      <c r="D102" t="s">
        <v>29</v>
      </c>
      <c r="E102" t="s">
        <v>40</v>
      </c>
      <c r="F102">
        <v>87.43</v>
      </c>
      <c r="G102">
        <v>3</v>
      </c>
      <c r="H102">
        <v>18.75</v>
      </c>
      <c r="I102">
        <f>YEAR(SalesData[[#This Row],[Order Date]])</f>
        <v>2022</v>
      </c>
    </row>
    <row r="103" spans="1:9" x14ac:dyDescent="0.25">
      <c r="A103" t="s">
        <v>125</v>
      </c>
      <c r="B103" s="1">
        <v>45188</v>
      </c>
      <c r="C103" t="s">
        <v>13</v>
      </c>
      <c r="D103" t="s">
        <v>17</v>
      </c>
      <c r="E103" t="s">
        <v>18</v>
      </c>
      <c r="F103">
        <v>567.73</v>
      </c>
      <c r="G103">
        <v>9</v>
      </c>
      <c r="H103">
        <v>131.66</v>
      </c>
      <c r="I103">
        <f>YEAR(SalesData[[#This Row],[Order Date]])</f>
        <v>2023</v>
      </c>
    </row>
    <row r="104" spans="1:9" x14ac:dyDescent="0.25">
      <c r="A104" t="s">
        <v>126</v>
      </c>
      <c r="B104" s="1">
        <v>45283</v>
      </c>
      <c r="C104" t="s">
        <v>20</v>
      </c>
      <c r="D104" t="s">
        <v>17</v>
      </c>
      <c r="E104" t="s">
        <v>27</v>
      </c>
      <c r="F104">
        <v>733.25</v>
      </c>
      <c r="G104">
        <v>8</v>
      </c>
      <c r="H104">
        <v>245.06</v>
      </c>
      <c r="I104">
        <f>YEAR(SalesData[[#This Row],[Order Date]])</f>
        <v>2023</v>
      </c>
    </row>
    <row r="105" spans="1:9" x14ac:dyDescent="0.25">
      <c r="A105" t="s">
        <v>127</v>
      </c>
      <c r="B105" s="1">
        <v>44895</v>
      </c>
      <c r="C105" t="s">
        <v>9</v>
      </c>
      <c r="D105" t="s">
        <v>17</v>
      </c>
      <c r="E105" t="s">
        <v>18</v>
      </c>
      <c r="F105">
        <v>618.46</v>
      </c>
      <c r="G105">
        <v>10</v>
      </c>
      <c r="H105">
        <v>45.12</v>
      </c>
      <c r="I105">
        <f>YEAR(SalesData[[#This Row],[Order Date]])</f>
        <v>2022</v>
      </c>
    </row>
    <row r="106" spans="1:9" x14ac:dyDescent="0.25">
      <c r="A106" t="s">
        <v>128</v>
      </c>
      <c r="B106" s="1">
        <v>45275</v>
      </c>
      <c r="C106" t="s">
        <v>9</v>
      </c>
      <c r="D106" t="s">
        <v>17</v>
      </c>
      <c r="E106" t="s">
        <v>18</v>
      </c>
      <c r="F106">
        <v>470.25</v>
      </c>
      <c r="G106">
        <v>6</v>
      </c>
      <c r="H106">
        <v>293.70999999999998</v>
      </c>
      <c r="I106">
        <f>YEAR(SalesData[[#This Row],[Order Date]])</f>
        <v>2023</v>
      </c>
    </row>
    <row r="107" spans="1:9" x14ac:dyDescent="0.25">
      <c r="A107" t="s">
        <v>129</v>
      </c>
      <c r="B107" s="1">
        <v>45115</v>
      </c>
      <c r="C107" t="s">
        <v>13</v>
      </c>
      <c r="D107" t="s">
        <v>10</v>
      </c>
      <c r="E107" t="s">
        <v>24</v>
      </c>
      <c r="F107">
        <v>143.65</v>
      </c>
      <c r="G107">
        <v>7</v>
      </c>
      <c r="H107">
        <v>-170.32</v>
      </c>
      <c r="I107">
        <f>YEAR(SalesData[[#This Row],[Order Date]])</f>
        <v>2023</v>
      </c>
    </row>
    <row r="108" spans="1:9" x14ac:dyDescent="0.25">
      <c r="A108" t="s">
        <v>130</v>
      </c>
      <c r="B108" s="1">
        <v>45184</v>
      </c>
      <c r="C108" t="s">
        <v>20</v>
      </c>
      <c r="D108" t="s">
        <v>29</v>
      </c>
      <c r="E108" t="s">
        <v>50</v>
      </c>
      <c r="F108">
        <v>548.16999999999996</v>
      </c>
      <c r="G108">
        <v>7</v>
      </c>
      <c r="H108">
        <v>-131.30000000000001</v>
      </c>
      <c r="I108">
        <f>YEAR(SalesData[[#This Row],[Order Date]])</f>
        <v>2023</v>
      </c>
    </row>
    <row r="109" spans="1:9" x14ac:dyDescent="0.25">
      <c r="A109" t="s">
        <v>131</v>
      </c>
      <c r="B109" s="1">
        <v>44705</v>
      </c>
      <c r="C109" t="s">
        <v>9</v>
      </c>
      <c r="D109" t="s">
        <v>10</v>
      </c>
      <c r="E109" t="s">
        <v>11</v>
      </c>
      <c r="F109">
        <v>818.33</v>
      </c>
      <c r="G109">
        <v>10</v>
      </c>
      <c r="H109">
        <v>76.84</v>
      </c>
      <c r="I109">
        <f>YEAR(SalesData[[#This Row],[Order Date]])</f>
        <v>2022</v>
      </c>
    </row>
    <row r="110" spans="1:9" x14ac:dyDescent="0.25">
      <c r="A110" t="s">
        <v>132</v>
      </c>
      <c r="B110" s="1">
        <v>44990</v>
      </c>
      <c r="C110" t="s">
        <v>13</v>
      </c>
      <c r="D110" t="s">
        <v>29</v>
      </c>
      <c r="E110" t="s">
        <v>50</v>
      </c>
      <c r="F110">
        <v>551.6</v>
      </c>
      <c r="G110">
        <v>2</v>
      </c>
      <c r="H110">
        <v>-187.18</v>
      </c>
      <c r="I110">
        <f>YEAR(SalesData[[#This Row],[Order Date]])</f>
        <v>2023</v>
      </c>
    </row>
    <row r="111" spans="1:9" x14ac:dyDescent="0.25">
      <c r="A111" t="s">
        <v>133</v>
      </c>
      <c r="B111" s="1">
        <v>44681</v>
      </c>
      <c r="C111" t="s">
        <v>13</v>
      </c>
      <c r="D111" t="s">
        <v>17</v>
      </c>
      <c r="E111" t="s">
        <v>27</v>
      </c>
      <c r="F111">
        <v>89.85</v>
      </c>
      <c r="G111">
        <v>7</v>
      </c>
      <c r="H111">
        <v>64.290000000000006</v>
      </c>
      <c r="I111">
        <f>YEAR(SalesData[[#This Row],[Order Date]])</f>
        <v>2022</v>
      </c>
    </row>
    <row r="112" spans="1:9" x14ac:dyDescent="0.25">
      <c r="A112" t="s">
        <v>134</v>
      </c>
      <c r="B112" s="1">
        <v>45023</v>
      </c>
      <c r="C112" t="s">
        <v>9</v>
      </c>
      <c r="D112" t="s">
        <v>17</v>
      </c>
      <c r="E112" t="s">
        <v>62</v>
      </c>
      <c r="F112">
        <v>330.52</v>
      </c>
      <c r="G112">
        <v>8</v>
      </c>
      <c r="H112">
        <v>181.95</v>
      </c>
      <c r="I112">
        <f>YEAR(SalesData[[#This Row],[Order Date]])</f>
        <v>2023</v>
      </c>
    </row>
    <row r="113" spans="1:9" x14ac:dyDescent="0.25">
      <c r="A113" t="s">
        <v>135</v>
      </c>
      <c r="B113" s="1">
        <v>45025</v>
      </c>
      <c r="C113" t="s">
        <v>13</v>
      </c>
      <c r="D113" t="s">
        <v>29</v>
      </c>
      <c r="E113" t="s">
        <v>30</v>
      </c>
      <c r="F113">
        <v>356.86</v>
      </c>
      <c r="G113">
        <v>8</v>
      </c>
      <c r="H113">
        <v>264.86</v>
      </c>
      <c r="I113">
        <f>YEAR(SalesData[[#This Row],[Order Date]])</f>
        <v>2023</v>
      </c>
    </row>
    <row r="114" spans="1:9" x14ac:dyDescent="0.25">
      <c r="A114" t="s">
        <v>136</v>
      </c>
      <c r="B114" s="1">
        <v>45134</v>
      </c>
      <c r="C114" t="s">
        <v>20</v>
      </c>
      <c r="D114" t="s">
        <v>10</v>
      </c>
      <c r="E114" t="s">
        <v>11</v>
      </c>
      <c r="F114">
        <v>582.76</v>
      </c>
      <c r="G114">
        <v>5</v>
      </c>
      <c r="H114">
        <v>282.95</v>
      </c>
      <c r="I114">
        <f>YEAR(SalesData[[#This Row],[Order Date]])</f>
        <v>2023</v>
      </c>
    </row>
    <row r="115" spans="1:9" x14ac:dyDescent="0.25">
      <c r="A115" t="s">
        <v>137</v>
      </c>
      <c r="B115" s="1">
        <v>44599</v>
      </c>
      <c r="C115" t="s">
        <v>20</v>
      </c>
      <c r="D115" t="s">
        <v>29</v>
      </c>
      <c r="E115" t="s">
        <v>30</v>
      </c>
      <c r="F115">
        <v>495.67</v>
      </c>
      <c r="G115">
        <v>6</v>
      </c>
      <c r="H115">
        <v>-123.32</v>
      </c>
      <c r="I115">
        <f>YEAR(SalesData[[#This Row],[Order Date]])</f>
        <v>2022</v>
      </c>
    </row>
    <row r="116" spans="1:9" x14ac:dyDescent="0.25">
      <c r="A116" t="s">
        <v>138</v>
      </c>
      <c r="B116" s="1">
        <v>45269</v>
      </c>
      <c r="C116" t="s">
        <v>16</v>
      </c>
      <c r="D116" t="s">
        <v>17</v>
      </c>
      <c r="E116" t="s">
        <v>18</v>
      </c>
      <c r="F116">
        <v>891.94</v>
      </c>
      <c r="G116">
        <v>5</v>
      </c>
      <c r="H116">
        <v>44.64</v>
      </c>
      <c r="I116">
        <f>YEAR(SalesData[[#This Row],[Order Date]])</f>
        <v>2023</v>
      </c>
    </row>
    <row r="117" spans="1:9" x14ac:dyDescent="0.25">
      <c r="A117" t="s">
        <v>139</v>
      </c>
      <c r="B117" s="1">
        <v>45092</v>
      </c>
      <c r="C117" t="s">
        <v>16</v>
      </c>
      <c r="D117" t="s">
        <v>29</v>
      </c>
      <c r="E117" t="s">
        <v>30</v>
      </c>
      <c r="F117">
        <v>771.76</v>
      </c>
      <c r="G117">
        <v>5</v>
      </c>
      <c r="H117">
        <v>75.66</v>
      </c>
      <c r="I117">
        <f>YEAR(SalesData[[#This Row],[Order Date]])</f>
        <v>2023</v>
      </c>
    </row>
    <row r="118" spans="1:9" x14ac:dyDescent="0.25">
      <c r="A118" t="s">
        <v>140</v>
      </c>
      <c r="B118" s="1">
        <v>44630</v>
      </c>
      <c r="C118" t="s">
        <v>9</v>
      </c>
      <c r="D118" t="s">
        <v>29</v>
      </c>
      <c r="E118" t="s">
        <v>40</v>
      </c>
      <c r="F118">
        <v>278.76</v>
      </c>
      <c r="G118">
        <v>4</v>
      </c>
      <c r="H118">
        <v>-106.33</v>
      </c>
      <c r="I118">
        <f>YEAR(SalesData[[#This Row],[Order Date]])</f>
        <v>2022</v>
      </c>
    </row>
    <row r="119" spans="1:9" x14ac:dyDescent="0.25">
      <c r="A119" t="s">
        <v>141</v>
      </c>
      <c r="B119" s="1">
        <v>44632</v>
      </c>
      <c r="C119" t="s">
        <v>16</v>
      </c>
      <c r="D119" t="s">
        <v>17</v>
      </c>
      <c r="E119" t="s">
        <v>18</v>
      </c>
      <c r="F119">
        <v>414.14</v>
      </c>
      <c r="G119">
        <v>1</v>
      </c>
      <c r="H119">
        <v>-181.94</v>
      </c>
      <c r="I119">
        <f>YEAR(SalesData[[#This Row],[Order Date]])</f>
        <v>2022</v>
      </c>
    </row>
    <row r="120" spans="1:9" x14ac:dyDescent="0.25">
      <c r="A120" t="s">
        <v>142</v>
      </c>
      <c r="B120" s="1">
        <v>44915</v>
      </c>
      <c r="C120" t="s">
        <v>16</v>
      </c>
      <c r="D120" t="s">
        <v>10</v>
      </c>
      <c r="E120" t="s">
        <v>14</v>
      </c>
      <c r="F120">
        <v>806.49</v>
      </c>
      <c r="G120">
        <v>9</v>
      </c>
      <c r="H120">
        <v>11.07</v>
      </c>
      <c r="I120">
        <f>YEAR(SalesData[[#This Row],[Order Date]])</f>
        <v>2022</v>
      </c>
    </row>
    <row r="121" spans="1:9" x14ac:dyDescent="0.25">
      <c r="A121" t="s">
        <v>143</v>
      </c>
      <c r="B121" s="1">
        <v>45280</v>
      </c>
      <c r="C121" t="s">
        <v>20</v>
      </c>
      <c r="D121" t="s">
        <v>10</v>
      </c>
      <c r="E121" t="s">
        <v>11</v>
      </c>
      <c r="F121">
        <v>734.87</v>
      </c>
      <c r="G121">
        <v>8</v>
      </c>
      <c r="H121">
        <v>65.73</v>
      </c>
      <c r="I121">
        <f>YEAR(SalesData[[#This Row],[Order Date]])</f>
        <v>2023</v>
      </c>
    </row>
    <row r="122" spans="1:9" x14ac:dyDescent="0.25">
      <c r="A122" t="s">
        <v>144</v>
      </c>
      <c r="B122" s="1">
        <v>44941</v>
      </c>
      <c r="C122" t="s">
        <v>9</v>
      </c>
      <c r="D122" t="s">
        <v>10</v>
      </c>
      <c r="E122" t="s">
        <v>24</v>
      </c>
      <c r="F122">
        <v>867.91</v>
      </c>
      <c r="G122">
        <v>9</v>
      </c>
      <c r="H122">
        <v>257.16000000000003</v>
      </c>
      <c r="I122">
        <f>YEAR(SalesData[[#This Row],[Order Date]])</f>
        <v>2023</v>
      </c>
    </row>
    <row r="123" spans="1:9" x14ac:dyDescent="0.25">
      <c r="A123" t="s">
        <v>145</v>
      </c>
      <c r="B123" s="1">
        <v>44671</v>
      </c>
      <c r="C123" t="s">
        <v>9</v>
      </c>
      <c r="D123" t="s">
        <v>17</v>
      </c>
      <c r="E123" t="s">
        <v>62</v>
      </c>
      <c r="F123">
        <v>328.69</v>
      </c>
      <c r="G123">
        <v>4</v>
      </c>
      <c r="H123">
        <v>17.010000000000002</v>
      </c>
      <c r="I123">
        <f>YEAR(SalesData[[#This Row],[Order Date]])</f>
        <v>2022</v>
      </c>
    </row>
    <row r="124" spans="1:9" x14ac:dyDescent="0.25">
      <c r="A124" t="s">
        <v>146</v>
      </c>
      <c r="B124" s="1">
        <v>45177</v>
      </c>
      <c r="C124" t="s">
        <v>16</v>
      </c>
      <c r="D124" t="s">
        <v>17</v>
      </c>
      <c r="E124" t="s">
        <v>62</v>
      </c>
      <c r="F124">
        <v>570.82000000000005</v>
      </c>
      <c r="G124">
        <v>7</v>
      </c>
      <c r="H124">
        <v>53.15</v>
      </c>
      <c r="I124">
        <f>YEAR(SalesData[[#This Row],[Order Date]])</f>
        <v>2023</v>
      </c>
    </row>
    <row r="125" spans="1:9" x14ac:dyDescent="0.25">
      <c r="A125" t="s">
        <v>147</v>
      </c>
      <c r="B125" s="1">
        <v>45138</v>
      </c>
      <c r="C125" t="s">
        <v>9</v>
      </c>
      <c r="D125" t="s">
        <v>29</v>
      </c>
      <c r="E125" t="s">
        <v>40</v>
      </c>
      <c r="F125">
        <v>121.37</v>
      </c>
      <c r="G125">
        <v>8</v>
      </c>
      <c r="H125">
        <v>26.87</v>
      </c>
      <c r="I125">
        <f>YEAR(SalesData[[#This Row],[Order Date]])</f>
        <v>2023</v>
      </c>
    </row>
    <row r="126" spans="1:9" x14ac:dyDescent="0.25">
      <c r="A126" t="s">
        <v>148</v>
      </c>
      <c r="B126" s="1">
        <v>44964</v>
      </c>
      <c r="C126" t="s">
        <v>20</v>
      </c>
      <c r="D126" t="s">
        <v>17</v>
      </c>
      <c r="E126" t="s">
        <v>27</v>
      </c>
      <c r="F126">
        <v>232.2</v>
      </c>
      <c r="G126">
        <v>4</v>
      </c>
      <c r="H126">
        <v>-142.97</v>
      </c>
      <c r="I126">
        <f>YEAR(SalesData[[#This Row],[Order Date]])</f>
        <v>2023</v>
      </c>
    </row>
    <row r="127" spans="1:9" x14ac:dyDescent="0.25">
      <c r="A127" t="s">
        <v>149</v>
      </c>
      <c r="B127" s="1">
        <v>44640</v>
      </c>
      <c r="C127" t="s">
        <v>13</v>
      </c>
      <c r="D127" t="s">
        <v>17</v>
      </c>
      <c r="E127" t="s">
        <v>18</v>
      </c>
      <c r="F127">
        <v>585.80999999999995</v>
      </c>
      <c r="G127">
        <v>4</v>
      </c>
      <c r="H127">
        <v>195.01</v>
      </c>
      <c r="I127">
        <f>YEAR(SalesData[[#This Row],[Order Date]])</f>
        <v>2022</v>
      </c>
    </row>
    <row r="128" spans="1:9" x14ac:dyDescent="0.25">
      <c r="A128" t="s">
        <v>150</v>
      </c>
      <c r="B128" s="1">
        <v>44803</v>
      </c>
      <c r="C128" t="s">
        <v>16</v>
      </c>
      <c r="D128" t="s">
        <v>17</v>
      </c>
      <c r="E128" t="s">
        <v>27</v>
      </c>
      <c r="F128">
        <v>561.94000000000005</v>
      </c>
      <c r="G128">
        <v>7</v>
      </c>
      <c r="H128">
        <v>57.9</v>
      </c>
      <c r="I128">
        <f>YEAR(SalesData[[#This Row],[Order Date]])</f>
        <v>2022</v>
      </c>
    </row>
    <row r="129" spans="1:9" x14ac:dyDescent="0.25">
      <c r="A129" t="s">
        <v>151</v>
      </c>
      <c r="B129" s="1">
        <v>44580</v>
      </c>
      <c r="C129" t="s">
        <v>20</v>
      </c>
      <c r="D129" t="s">
        <v>17</v>
      </c>
      <c r="E129" t="s">
        <v>62</v>
      </c>
      <c r="F129">
        <v>289.44</v>
      </c>
      <c r="G129">
        <v>2</v>
      </c>
      <c r="H129">
        <v>33.96</v>
      </c>
      <c r="I129">
        <f>YEAR(SalesData[[#This Row],[Order Date]])</f>
        <v>2022</v>
      </c>
    </row>
    <row r="130" spans="1:9" x14ac:dyDescent="0.25">
      <c r="A130" t="s">
        <v>152</v>
      </c>
      <c r="B130" s="1">
        <v>45108</v>
      </c>
      <c r="C130" t="s">
        <v>16</v>
      </c>
      <c r="D130" t="s">
        <v>10</v>
      </c>
      <c r="E130" t="s">
        <v>11</v>
      </c>
      <c r="F130">
        <v>172.3</v>
      </c>
      <c r="G130">
        <v>6</v>
      </c>
      <c r="H130">
        <v>287.67</v>
      </c>
      <c r="I130">
        <f>YEAR(SalesData[[#This Row],[Order Date]])</f>
        <v>2023</v>
      </c>
    </row>
    <row r="131" spans="1:9" x14ac:dyDescent="0.25">
      <c r="A131" t="s">
        <v>153</v>
      </c>
      <c r="B131" s="1">
        <v>45022</v>
      </c>
      <c r="C131" t="s">
        <v>16</v>
      </c>
      <c r="D131" t="s">
        <v>17</v>
      </c>
      <c r="E131" t="s">
        <v>62</v>
      </c>
      <c r="F131">
        <v>916.47</v>
      </c>
      <c r="G131">
        <v>10</v>
      </c>
      <c r="H131">
        <v>218.12</v>
      </c>
      <c r="I131">
        <f>YEAR(SalesData[[#This Row],[Order Date]])</f>
        <v>2023</v>
      </c>
    </row>
    <row r="132" spans="1:9" x14ac:dyDescent="0.25">
      <c r="A132" t="s">
        <v>154</v>
      </c>
      <c r="B132" s="1">
        <v>45184</v>
      </c>
      <c r="C132" t="s">
        <v>20</v>
      </c>
      <c r="D132" t="s">
        <v>17</v>
      </c>
      <c r="E132" t="s">
        <v>18</v>
      </c>
      <c r="F132">
        <v>115.59</v>
      </c>
      <c r="G132">
        <v>10</v>
      </c>
      <c r="H132">
        <v>-101.59</v>
      </c>
      <c r="I132">
        <f>YEAR(SalesData[[#This Row],[Order Date]])</f>
        <v>2023</v>
      </c>
    </row>
    <row r="133" spans="1:9" x14ac:dyDescent="0.25">
      <c r="A133" t="s">
        <v>155</v>
      </c>
      <c r="B133" s="1">
        <v>44994</v>
      </c>
      <c r="C133" t="s">
        <v>13</v>
      </c>
      <c r="D133" t="s">
        <v>29</v>
      </c>
      <c r="E133" t="s">
        <v>50</v>
      </c>
      <c r="F133">
        <v>883.7</v>
      </c>
      <c r="G133">
        <v>8</v>
      </c>
      <c r="H133">
        <v>239.52</v>
      </c>
      <c r="I133">
        <f>YEAR(SalesData[[#This Row],[Order Date]])</f>
        <v>2023</v>
      </c>
    </row>
    <row r="134" spans="1:9" x14ac:dyDescent="0.25">
      <c r="A134" t="s">
        <v>156</v>
      </c>
      <c r="B134" s="1">
        <v>44971</v>
      </c>
      <c r="C134" t="s">
        <v>13</v>
      </c>
      <c r="D134" t="s">
        <v>17</v>
      </c>
      <c r="E134" t="s">
        <v>62</v>
      </c>
      <c r="F134">
        <v>809.3</v>
      </c>
      <c r="G134">
        <v>4</v>
      </c>
      <c r="H134">
        <v>-169.02</v>
      </c>
      <c r="I134">
        <f>YEAR(SalesData[[#This Row],[Order Date]])</f>
        <v>2023</v>
      </c>
    </row>
    <row r="135" spans="1:9" x14ac:dyDescent="0.25">
      <c r="A135" t="s">
        <v>157</v>
      </c>
      <c r="B135" s="1">
        <v>44849</v>
      </c>
      <c r="C135" t="s">
        <v>9</v>
      </c>
      <c r="D135" t="s">
        <v>17</v>
      </c>
      <c r="E135" t="s">
        <v>18</v>
      </c>
      <c r="F135">
        <v>196.11</v>
      </c>
      <c r="G135">
        <v>3</v>
      </c>
      <c r="H135">
        <v>216.73</v>
      </c>
      <c r="I135">
        <f>YEAR(SalesData[[#This Row],[Order Date]])</f>
        <v>2022</v>
      </c>
    </row>
    <row r="136" spans="1:9" x14ac:dyDescent="0.25">
      <c r="A136" t="s">
        <v>158</v>
      </c>
      <c r="B136" s="1">
        <v>45083</v>
      </c>
      <c r="C136" t="s">
        <v>9</v>
      </c>
      <c r="D136" t="s">
        <v>17</v>
      </c>
      <c r="E136" t="s">
        <v>18</v>
      </c>
      <c r="F136">
        <v>731.54</v>
      </c>
      <c r="G136">
        <v>4</v>
      </c>
      <c r="H136">
        <v>178.99</v>
      </c>
      <c r="I136">
        <f>YEAR(SalesData[[#This Row],[Order Date]])</f>
        <v>2023</v>
      </c>
    </row>
    <row r="137" spans="1:9" x14ac:dyDescent="0.25">
      <c r="A137" t="s">
        <v>159</v>
      </c>
      <c r="B137" s="1">
        <v>44888</v>
      </c>
      <c r="C137" t="s">
        <v>16</v>
      </c>
      <c r="D137" t="s">
        <v>10</v>
      </c>
      <c r="E137" t="s">
        <v>24</v>
      </c>
      <c r="F137">
        <v>237.14</v>
      </c>
      <c r="G137">
        <v>4</v>
      </c>
      <c r="H137">
        <v>265.25</v>
      </c>
      <c r="I137">
        <f>YEAR(SalesData[[#This Row],[Order Date]])</f>
        <v>2022</v>
      </c>
    </row>
    <row r="138" spans="1:9" x14ac:dyDescent="0.25">
      <c r="A138" t="s">
        <v>160</v>
      </c>
      <c r="B138" s="1">
        <v>45284</v>
      </c>
      <c r="C138" t="s">
        <v>9</v>
      </c>
      <c r="D138" t="s">
        <v>29</v>
      </c>
      <c r="E138" t="s">
        <v>50</v>
      </c>
      <c r="F138">
        <v>895.92</v>
      </c>
      <c r="G138">
        <v>8</v>
      </c>
      <c r="H138">
        <v>179.05</v>
      </c>
      <c r="I138">
        <f>YEAR(SalesData[[#This Row],[Order Date]])</f>
        <v>2023</v>
      </c>
    </row>
    <row r="139" spans="1:9" x14ac:dyDescent="0.25">
      <c r="A139" t="s">
        <v>161</v>
      </c>
      <c r="B139" s="1">
        <v>44901</v>
      </c>
      <c r="C139" t="s">
        <v>13</v>
      </c>
      <c r="D139" t="s">
        <v>29</v>
      </c>
      <c r="E139" t="s">
        <v>30</v>
      </c>
      <c r="F139">
        <v>910.13</v>
      </c>
      <c r="G139">
        <v>1</v>
      </c>
      <c r="H139">
        <v>13.9</v>
      </c>
      <c r="I139">
        <f>YEAR(SalesData[[#This Row],[Order Date]])</f>
        <v>2022</v>
      </c>
    </row>
    <row r="140" spans="1:9" x14ac:dyDescent="0.25">
      <c r="A140" t="s">
        <v>162</v>
      </c>
      <c r="B140" s="1">
        <v>44839</v>
      </c>
      <c r="C140" t="s">
        <v>16</v>
      </c>
      <c r="D140" t="s">
        <v>10</v>
      </c>
      <c r="E140" t="s">
        <v>11</v>
      </c>
      <c r="F140">
        <v>475.71</v>
      </c>
      <c r="G140">
        <v>5</v>
      </c>
      <c r="H140">
        <v>178.61</v>
      </c>
      <c r="I140">
        <f>YEAR(SalesData[[#This Row],[Order Date]])</f>
        <v>2022</v>
      </c>
    </row>
    <row r="141" spans="1:9" x14ac:dyDescent="0.25">
      <c r="A141" t="s">
        <v>163</v>
      </c>
      <c r="B141" s="1">
        <v>44568</v>
      </c>
      <c r="C141" t="s">
        <v>13</v>
      </c>
      <c r="D141" t="s">
        <v>17</v>
      </c>
      <c r="E141" t="s">
        <v>18</v>
      </c>
      <c r="F141">
        <v>544.86</v>
      </c>
      <c r="G141">
        <v>10</v>
      </c>
      <c r="H141">
        <v>134.78</v>
      </c>
      <c r="I141">
        <f>YEAR(SalesData[[#This Row],[Order Date]])</f>
        <v>2022</v>
      </c>
    </row>
    <row r="142" spans="1:9" x14ac:dyDescent="0.25">
      <c r="A142" t="s">
        <v>164</v>
      </c>
      <c r="B142" s="1">
        <v>44860</v>
      </c>
      <c r="C142" t="s">
        <v>16</v>
      </c>
      <c r="D142" t="s">
        <v>29</v>
      </c>
      <c r="E142" t="s">
        <v>30</v>
      </c>
      <c r="F142">
        <v>44.38</v>
      </c>
      <c r="G142">
        <v>6</v>
      </c>
      <c r="H142">
        <v>-196.13</v>
      </c>
      <c r="I142">
        <f>YEAR(SalesData[[#This Row],[Order Date]])</f>
        <v>2022</v>
      </c>
    </row>
    <row r="143" spans="1:9" x14ac:dyDescent="0.25">
      <c r="A143" t="s">
        <v>165</v>
      </c>
      <c r="B143" s="1">
        <v>44797</v>
      </c>
      <c r="C143" t="s">
        <v>20</v>
      </c>
      <c r="D143" t="s">
        <v>17</v>
      </c>
      <c r="E143" t="s">
        <v>27</v>
      </c>
      <c r="F143">
        <v>832.09</v>
      </c>
      <c r="G143">
        <v>3</v>
      </c>
      <c r="H143">
        <v>-182.17</v>
      </c>
      <c r="I143">
        <f>YEAR(SalesData[[#This Row],[Order Date]])</f>
        <v>2022</v>
      </c>
    </row>
    <row r="144" spans="1:9" x14ac:dyDescent="0.25">
      <c r="A144" t="s">
        <v>166</v>
      </c>
      <c r="B144" s="1">
        <v>45071</v>
      </c>
      <c r="C144" t="s">
        <v>9</v>
      </c>
      <c r="D144" t="s">
        <v>29</v>
      </c>
      <c r="E144" t="s">
        <v>50</v>
      </c>
      <c r="F144">
        <v>939.81</v>
      </c>
      <c r="G144">
        <v>2</v>
      </c>
      <c r="H144">
        <v>-197.17</v>
      </c>
      <c r="I144">
        <f>YEAR(SalesData[[#This Row],[Order Date]])</f>
        <v>2023</v>
      </c>
    </row>
    <row r="145" spans="1:9" x14ac:dyDescent="0.25">
      <c r="A145" t="s">
        <v>167</v>
      </c>
      <c r="B145" s="1">
        <v>44580</v>
      </c>
      <c r="C145" t="s">
        <v>16</v>
      </c>
      <c r="D145" t="s">
        <v>10</v>
      </c>
      <c r="E145" t="s">
        <v>24</v>
      </c>
      <c r="F145">
        <v>238.73</v>
      </c>
      <c r="G145">
        <v>7</v>
      </c>
      <c r="H145">
        <v>40.15</v>
      </c>
      <c r="I145">
        <f>YEAR(SalesData[[#This Row],[Order Date]])</f>
        <v>2022</v>
      </c>
    </row>
    <row r="146" spans="1:9" x14ac:dyDescent="0.25">
      <c r="A146" t="s">
        <v>168</v>
      </c>
      <c r="B146" s="1">
        <v>44799</v>
      </c>
      <c r="C146" t="s">
        <v>20</v>
      </c>
      <c r="D146" t="s">
        <v>29</v>
      </c>
      <c r="E146" t="s">
        <v>30</v>
      </c>
      <c r="F146">
        <v>724.17</v>
      </c>
      <c r="G146">
        <v>7</v>
      </c>
      <c r="H146">
        <v>-155.88999999999999</v>
      </c>
      <c r="I146">
        <f>YEAR(SalesData[[#This Row],[Order Date]])</f>
        <v>2022</v>
      </c>
    </row>
    <row r="147" spans="1:9" x14ac:dyDescent="0.25">
      <c r="A147" t="s">
        <v>169</v>
      </c>
      <c r="B147" s="1">
        <v>45256</v>
      </c>
      <c r="C147" t="s">
        <v>20</v>
      </c>
      <c r="D147" t="s">
        <v>17</v>
      </c>
      <c r="E147" t="s">
        <v>62</v>
      </c>
      <c r="F147">
        <v>591.42999999999995</v>
      </c>
      <c r="G147">
        <v>4</v>
      </c>
      <c r="H147">
        <v>-58.05</v>
      </c>
      <c r="I147">
        <f>YEAR(SalesData[[#This Row],[Order Date]])</f>
        <v>2023</v>
      </c>
    </row>
    <row r="148" spans="1:9" x14ac:dyDescent="0.25">
      <c r="A148" t="s">
        <v>170</v>
      </c>
      <c r="B148" s="1">
        <v>44946</v>
      </c>
      <c r="C148" t="s">
        <v>9</v>
      </c>
      <c r="D148" t="s">
        <v>29</v>
      </c>
      <c r="E148" t="s">
        <v>50</v>
      </c>
      <c r="F148">
        <v>536.9</v>
      </c>
      <c r="G148">
        <v>2</v>
      </c>
      <c r="H148">
        <v>145.44</v>
      </c>
      <c r="I148">
        <f>YEAR(SalesData[[#This Row],[Order Date]])</f>
        <v>2023</v>
      </c>
    </row>
    <row r="149" spans="1:9" x14ac:dyDescent="0.25">
      <c r="A149" t="s">
        <v>171</v>
      </c>
      <c r="B149" s="1">
        <v>44842</v>
      </c>
      <c r="C149" t="s">
        <v>20</v>
      </c>
      <c r="D149" t="s">
        <v>10</v>
      </c>
      <c r="E149" t="s">
        <v>14</v>
      </c>
      <c r="F149">
        <v>152.80000000000001</v>
      </c>
      <c r="G149">
        <v>5</v>
      </c>
      <c r="H149">
        <v>-7.79</v>
      </c>
      <c r="I149">
        <f>YEAR(SalesData[[#This Row],[Order Date]])</f>
        <v>2022</v>
      </c>
    </row>
    <row r="150" spans="1:9" x14ac:dyDescent="0.25">
      <c r="A150" t="s">
        <v>172</v>
      </c>
      <c r="B150" s="1">
        <v>45093</v>
      </c>
      <c r="C150" t="s">
        <v>20</v>
      </c>
      <c r="D150" t="s">
        <v>10</v>
      </c>
      <c r="E150" t="s">
        <v>14</v>
      </c>
      <c r="F150">
        <v>395.87</v>
      </c>
      <c r="G150">
        <v>8</v>
      </c>
      <c r="H150">
        <v>-166.38</v>
      </c>
      <c r="I150">
        <f>YEAR(SalesData[[#This Row],[Order Date]])</f>
        <v>2023</v>
      </c>
    </row>
    <row r="151" spans="1:9" x14ac:dyDescent="0.25">
      <c r="A151" t="s">
        <v>173</v>
      </c>
      <c r="B151" s="1">
        <v>45117</v>
      </c>
      <c r="C151" t="s">
        <v>16</v>
      </c>
      <c r="D151" t="s">
        <v>29</v>
      </c>
      <c r="E151" t="s">
        <v>50</v>
      </c>
      <c r="F151">
        <v>125.77</v>
      </c>
      <c r="G151">
        <v>10</v>
      </c>
      <c r="H151">
        <v>172.1</v>
      </c>
      <c r="I151">
        <f>YEAR(SalesData[[#This Row],[Order Date]])</f>
        <v>2023</v>
      </c>
    </row>
    <row r="152" spans="1:9" x14ac:dyDescent="0.25">
      <c r="A152" t="s">
        <v>174</v>
      </c>
      <c r="B152" s="1">
        <v>44703</v>
      </c>
      <c r="C152" t="s">
        <v>16</v>
      </c>
      <c r="D152" t="s">
        <v>29</v>
      </c>
      <c r="E152" t="s">
        <v>30</v>
      </c>
      <c r="F152">
        <v>661.59</v>
      </c>
      <c r="G152">
        <v>8</v>
      </c>
      <c r="H152">
        <v>207.94</v>
      </c>
      <c r="I152">
        <f>YEAR(SalesData[[#This Row],[Order Date]])</f>
        <v>2022</v>
      </c>
    </row>
    <row r="153" spans="1:9" x14ac:dyDescent="0.25">
      <c r="A153" t="s">
        <v>175</v>
      </c>
      <c r="B153" s="1">
        <v>44603</v>
      </c>
      <c r="C153" t="s">
        <v>20</v>
      </c>
      <c r="D153" t="s">
        <v>10</v>
      </c>
      <c r="E153" t="s">
        <v>14</v>
      </c>
      <c r="F153">
        <v>996.29</v>
      </c>
      <c r="G153">
        <v>3</v>
      </c>
      <c r="H153">
        <v>269.47000000000003</v>
      </c>
      <c r="I153">
        <f>YEAR(SalesData[[#This Row],[Order Date]])</f>
        <v>2022</v>
      </c>
    </row>
    <row r="154" spans="1:9" x14ac:dyDescent="0.25">
      <c r="A154" t="s">
        <v>176</v>
      </c>
      <c r="B154" s="1">
        <v>45275</v>
      </c>
      <c r="C154" t="s">
        <v>13</v>
      </c>
      <c r="D154" t="s">
        <v>17</v>
      </c>
      <c r="E154" t="s">
        <v>62</v>
      </c>
      <c r="F154">
        <v>452.65</v>
      </c>
      <c r="G154">
        <v>4</v>
      </c>
      <c r="H154">
        <v>-59.4</v>
      </c>
      <c r="I154">
        <f>YEAR(SalesData[[#This Row],[Order Date]])</f>
        <v>2023</v>
      </c>
    </row>
    <row r="155" spans="1:9" x14ac:dyDescent="0.25">
      <c r="A155" t="s">
        <v>177</v>
      </c>
      <c r="B155" s="1">
        <v>44622</v>
      </c>
      <c r="C155" t="s">
        <v>9</v>
      </c>
      <c r="D155" t="s">
        <v>17</v>
      </c>
      <c r="E155" t="s">
        <v>62</v>
      </c>
      <c r="F155">
        <v>303.18</v>
      </c>
      <c r="G155">
        <v>9</v>
      </c>
      <c r="H155">
        <v>149.83000000000001</v>
      </c>
      <c r="I155">
        <f>YEAR(SalesData[[#This Row],[Order Date]])</f>
        <v>2022</v>
      </c>
    </row>
    <row r="156" spans="1:9" x14ac:dyDescent="0.25">
      <c r="A156" t="s">
        <v>178</v>
      </c>
      <c r="B156" s="1">
        <v>44640</v>
      </c>
      <c r="C156" t="s">
        <v>16</v>
      </c>
      <c r="D156" t="s">
        <v>10</v>
      </c>
      <c r="E156" t="s">
        <v>24</v>
      </c>
      <c r="F156">
        <v>863.05</v>
      </c>
      <c r="G156">
        <v>10</v>
      </c>
      <c r="H156">
        <v>-32.5</v>
      </c>
      <c r="I156">
        <f>YEAR(SalesData[[#This Row],[Order Date]])</f>
        <v>2022</v>
      </c>
    </row>
    <row r="157" spans="1:9" x14ac:dyDescent="0.25">
      <c r="A157" t="s">
        <v>179</v>
      </c>
      <c r="B157" s="1">
        <v>45026</v>
      </c>
      <c r="C157" t="s">
        <v>9</v>
      </c>
      <c r="D157" t="s">
        <v>29</v>
      </c>
      <c r="E157" t="s">
        <v>40</v>
      </c>
      <c r="F157">
        <v>118.25</v>
      </c>
      <c r="G157">
        <v>1</v>
      </c>
      <c r="H157">
        <v>-14.38</v>
      </c>
      <c r="I157">
        <f>YEAR(SalesData[[#This Row],[Order Date]])</f>
        <v>2023</v>
      </c>
    </row>
    <row r="158" spans="1:9" x14ac:dyDescent="0.25">
      <c r="A158" t="s">
        <v>180</v>
      </c>
      <c r="B158" s="1">
        <v>45268</v>
      </c>
      <c r="C158" t="s">
        <v>9</v>
      </c>
      <c r="D158" t="s">
        <v>17</v>
      </c>
      <c r="E158" t="s">
        <v>18</v>
      </c>
      <c r="F158">
        <v>250.92</v>
      </c>
      <c r="G158">
        <v>5</v>
      </c>
      <c r="H158">
        <v>10.9</v>
      </c>
      <c r="I158">
        <f>YEAR(SalesData[[#This Row],[Order Date]])</f>
        <v>2023</v>
      </c>
    </row>
    <row r="159" spans="1:9" x14ac:dyDescent="0.25">
      <c r="A159" t="s">
        <v>181</v>
      </c>
      <c r="B159" s="1">
        <v>44985</v>
      </c>
      <c r="C159" t="s">
        <v>20</v>
      </c>
      <c r="D159" t="s">
        <v>29</v>
      </c>
      <c r="E159" t="s">
        <v>50</v>
      </c>
      <c r="F159">
        <v>896.3</v>
      </c>
      <c r="G159">
        <v>8</v>
      </c>
      <c r="H159">
        <v>122.79</v>
      </c>
      <c r="I159">
        <f>YEAR(SalesData[[#This Row],[Order Date]])</f>
        <v>2023</v>
      </c>
    </row>
    <row r="160" spans="1:9" x14ac:dyDescent="0.25">
      <c r="A160" t="s">
        <v>182</v>
      </c>
      <c r="B160" s="1">
        <v>44944</v>
      </c>
      <c r="C160" t="s">
        <v>9</v>
      </c>
      <c r="D160" t="s">
        <v>17</v>
      </c>
      <c r="E160" t="s">
        <v>18</v>
      </c>
      <c r="F160">
        <v>113.57</v>
      </c>
      <c r="G160">
        <v>3</v>
      </c>
      <c r="H160">
        <v>-17.04</v>
      </c>
      <c r="I160">
        <f>YEAR(SalesData[[#This Row],[Order Date]])</f>
        <v>2023</v>
      </c>
    </row>
    <row r="161" spans="1:9" x14ac:dyDescent="0.25">
      <c r="A161" t="s">
        <v>183</v>
      </c>
      <c r="B161" s="1">
        <v>44577</v>
      </c>
      <c r="C161" t="s">
        <v>13</v>
      </c>
      <c r="D161" t="s">
        <v>29</v>
      </c>
      <c r="E161" t="s">
        <v>40</v>
      </c>
      <c r="F161">
        <v>511.91</v>
      </c>
      <c r="G161">
        <v>7</v>
      </c>
      <c r="H161">
        <v>127.76</v>
      </c>
      <c r="I161">
        <f>YEAR(SalesData[[#This Row],[Order Date]])</f>
        <v>2022</v>
      </c>
    </row>
    <row r="162" spans="1:9" x14ac:dyDescent="0.25">
      <c r="A162" t="s">
        <v>184</v>
      </c>
      <c r="B162" s="1">
        <v>45254</v>
      </c>
      <c r="C162" t="s">
        <v>9</v>
      </c>
      <c r="D162" t="s">
        <v>17</v>
      </c>
      <c r="E162" t="s">
        <v>62</v>
      </c>
      <c r="F162">
        <v>630.91999999999996</v>
      </c>
      <c r="G162">
        <v>10</v>
      </c>
      <c r="H162">
        <v>18.68</v>
      </c>
      <c r="I162">
        <f>YEAR(SalesData[[#This Row],[Order Date]])</f>
        <v>2023</v>
      </c>
    </row>
    <row r="163" spans="1:9" x14ac:dyDescent="0.25">
      <c r="A163" t="s">
        <v>185</v>
      </c>
      <c r="B163" s="1">
        <v>44933</v>
      </c>
      <c r="C163" t="s">
        <v>9</v>
      </c>
      <c r="D163" t="s">
        <v>17</v>
      </c>
      <c r="E163" t="s">
        <v>27</v>
      </c>
      <c r="F163">
        <v>951.14</v>
      </c>
      <c r="G163">
        <v>7</v>
      </c>
      <c r="H163">
        <v>224.81</v>
      </c>
      <c r="I163">
        <f>YEAR(SalesData[[#This Row],[Order Date]])</f>
        <v>2023</v>
      </c>
    </row>
    <row r="164" spans="1:9" x14ac:dyDescent="0.25">
      <c r="A164" t="s">
        <v>186</v>
      </c>
      <c r="B164" s="1">
        <v>44776</v>
      </c>
      <c r="C164" t="s">
        <v>20</v>
      </c>
      <c r="D164" t="s">
        <v>10</v>
      </c>
      <c r="E164" t="s">
        <v>11</v>
      </c>
      <c r="F164">
        <v>844.58</v>
      </c>
      <c r="G164">
        <v>9</v>
      </c>
      <c r="H164">
        <v>216.34</v>
      </c>
      <c r="I164">
        <f>YEAR(SalesData[[#This Row],[Order Date]])</f>
        <v>2022</v>
      </c>
    </row>
    <row r="165" spans="1:9" x14ac:dyDescent="0.25">
      <c r="A165" t="s">
        <v>187</v>
      </c>
      <c r="B165" s="1">
        <v>44701</v>
      </c>
      <c r="C165" t="s">
        <v>16</v>
      </c>
      <c r="D165" t="s">
        <v>29</v>
      </c>
      <c r="E165" t="s">
        <v>30</v>
      </c>
      <c r="F165">
        <v>115.92</v>
      </c>
      <c r="G165">
        <v>7</v>
      </c>
      <c r="H165">
        <v>-20.77</v>
      </c>
      <c r="I165">
        <f>YEAR(SalesData[[#This Row],[Order Date]])</f>
        <v>2022</v>
      </c>
    </row>
    <row r="166" spans="1:9" x14ac:dyDescent="0.25">
      <c r="A166" t="s">
        <v>188</v>
      </c>
      <c r="B166" s="1">
        <v>45058</v>
      </c>
      <c r="C166" t="s">
        <v>16</v>
      </c>
      <c r="D166" t="s">
        <v>10</v>
      </c>
      <c r="E166" t="s">
        <v>24</v>
      </c>
      <c r="F166">
        <v>343.67</v>
      </c>
      <c r="G166">
        <v>2</v>
      </c>
      <c r="H166">
        <v>84.08</v>
      </c>
      <c r="I166">
        <f>YEAR(SalesData[[#This Row],[Order Date]])</f>
        <v>2023</v>
      </c>
    </row>
    <row r="167" spans="1:9" x14ac:dyDescent="0.25">
      <c r="A167" t="s">
        <v>189</v>
      </c>
      <c r="B167" s="1">
        <v>44662</v>
      </c>
      <c r="C167" t="s">
        <v>20</v>
      </c>
      <c r="D167" t="s">
        <v>29</v>
      </c>
      <c r="E167" t="s">
        <v>50</v>
      </c>
      <c r="F167">
        <v>909.44</v>
      </c>
      <c r="G167">
        <v>1</v>
      </c>
      <c r="H167">
        <v>-185.35</v>
      </c>
      <c r="I167">
        <f>YEAR(SalesData[[#This Row],[Order Date]])</f>
        <v>2022</v>
      </c>
    </row>
    <row r="168" spans="1:9" x14ac:dyDescent="0.25">
      <c r="A168" t="s">
        <v>190</v>
      </c>
      <c r="B168" s="1">
        <v>44717</v>
      </c>
      <c r="C168" t="s">
        <v>16</v>
      </c>
      <c r="D168" t="s">
        <v>29</v>
      </c>
      <c r="E168" t="s">
        <v>40</v>
      </c>
      <c r="F168">
        <v>381.25</v>
      </c>
      <c r="G168">
        <v>8</v>
      </c>
      <c r="H168">
        <v>-152.01</v>
      </c>
      <c r="I168">
        <f>YEAR(SalesData[[#This Row],[Order Date]])</f>
        <v>2022</v>
      </c>
    </row>
    <row r="169" spans="1:9" x14ac:dyDescent="0.25">
      <c r="A169" t="s">
        <v>191</v>
      </c>
      <c r="B169" s="1">
        <v>45120</v>
      </c>
      <c r="C169" t="s">
        <v>20</v>
      </c>
      <c r="D169" t="s">
        <v>17</v>
      </c>
      <c r="E169" t="s">
        <v>27</v>
      </c>
      <c r="F169">
        <v>844.42</v>
      </c>
      <c r="G169">
        <v>8</v>
      </c>
      <c r="H169">
        <v>-48.59</v>
      </c>
      <c r="I169">
        <f>YEAR(SalesData[[#This Row],[Order Date]])</f>
        <v>2023</v>
      </c>
    </row>
    <row r="170" spans="1:9" x14ac:dyDescent="0.25">
      <c r="A170" t="s">
        <v>192</v>
      </c>
      <c r="B170" s="1">
        <v>45157</v>
      </c>
      <c r="C170" t="s">
        <v>13</v>
      </c>
      <c r="D170" t="s">
        <v>29</v>
      </c>
      <c r="E170" t="s">
        <v>50</v>
      </c>
      <c r="F170">
        <v>755.84</v>
      </c>
      <c r="G170">
        <v>9</v>
      </c>
      <c r="H170">
        <v>32.93</v>
      </c>
      <c r="I170">
        <f>YEAR(SalesData[[#This Row],[Order Date]])</f>
        <v>2023</v>
      </c>
    </row>
    <row r="171" spans="1:9" x14ac:dyDescent="0.25">
      <c r="A171" t="s">
        <v>193</v>
      </c>
      <c r="B171" s="1">
        <v>44827</v>
      </c>
      <c r="C171" t="s">
        <v>16</v>
      </c>
      <c r="D171" t="s">
        <v>10</v>
      </c>
      <c r="E171" t="s">
        <v>14</v>
      </c>
      <c r="F171">
        <v>104.88</v>
      </c>
      <c r="G171">
        <v>4</v>
      </c>
      <c r="H171">
        <v>-63.12</v>
      </c>
      <c r="I171">
        <f>YEAR(SalesData[[#This Row],[Order Date]])</f>
        <v>2022</v>
      </c>
    </row>
    <row r="172" spans="1:9" x14ac:dyDescent="0.25">
      <c r="A172" t="s">
        <v>194</v>
      </c>
      <c r="B172" s="1">
        <v>45203</v>
      </c>
      <c r="C172" t="s">
        <v>20</v>
      </c>
      <c r="D172" t="s">
        <v>29</v>
      </c>
      <c r="E172" t="s">
        <v>30</v>
      </c>
      <c r="F172">
        <v>96.37</v>
      </c>
      <c r="G172">
        <v>5</v>
      </c>
      <c r="H172">
        <v>-170.05</v>
      </c>
      <c r="I172">
        <f>YEAR(SalesData[[#This Row],[Order Date]])</f>
        <v>2023</v>
      </c>
    </row>
    <row r="173" spans="1:9" x14ac:dyDescent="0.25">
      <c r="A173" t="s">
        <v>195</v>
      </c>
      <c r="B173" s="1">
        <v>44904</v>
      </c>
      <c r="C173" t="s">
        <v>13</v>
      </c>
      <c r="D173" t="s">
        <v>10</v>
      </c>
      <c r="E173" t="s">
        <v>11</v>
      </c>
      <c r="F173">
        <v>741.61</v>
      </c>
      <c r="G173">
        <v>4</v>
      </c>
      <c r="H173">
        <v>-30.86</v>
      </c>
      <c r="I173">
        <f>YEAR(SalesData[[#This Row],[Order Date]])</f>
        <v>2022</v>
      </c>
    </row>
    <row r="174" spans="1:9" x14ac:dyDescent="0.25">
      <c r="A174" t="s">
        <v>196</v>
      </c>
      <c r="B174" s="1">
        <v>45009</v>
      </c>
      <c r="C174" t="s">
        <v>16</v>
      </c>
      <c r="D174" t="s">
        <v>10</v>
      </c>
      <c r="E174" t="s">
        <v>11</v>
      </c>
      <c r="F174">
        <v>79.709999999999994</v>
      </c>
      <c r="G174">
        <v>2</v>
      </c>
      <c r="H174">
        <v>-45.4</v>
      </c>
      <c r="I174">
        <f>YEAR(SalesData[[#This Row],[Order Date]])</f>
        <v>2023</v>
      </c>
    </row>
    <row r="175" spans="1:9" x14ac:dyDescent="0.25">
      <c r="A175" t="s">
        <v>197</v>
      </c>
      <c r="B175" s="1">
        <v>44773</v>
      </c>
      <c r="C175" t="s">
        <v>13</v>
      </c>
      <c r="D175" t="s">
        <v>17</v>
      </c>
      <c r="E175" t="s">
        <v>18</v>
      </c>
      <c r="F175">
        <v>55.99</v>
      </c>
      <c r="G175">
        <v>3</v>
      </c>
      <c r="H175">
        <v>194.92</v>
      </c>
      <c r="I175">
        <f>YEAR(SalesData[[#This Row],[Order Date]])</f>
        <v>2022</v>
      </c>
    </row>
    <row r="176" spans="1:9" x14ac:dyDescent="0.25">
      <c r="A176" t="s">
        <v>198</v>
      </c>
      <c r="B176" s="1">
        <v>44978</v>
      </c>
      <c r="C176" t="s">
        <v>16</v>
      </c>
      <c r="D176" t="s">
        <v>29</v>
      </c>
      <c r="E176" t="s">
        <v>50</v>
      </c>
      <c r="F176">
        <v>634.05999999999995</v>
      </c>
      <c r="G176">
        <v>5</v>
      </c>
      <c r="H176">
        <v>245.83</v>
      </c>
      <c r="I176">
        <f>YEAR(SalesData[[#This Row],[Order Date]])</f>
        <v>2023</v>
      </c>
    </row>
    <row r="177" spans="1:9" x14ac:dyDescent="0.25">
      <c r="A177" t="s">
        <v>199</v>
      </c>
      <c r="B177" s="1">
        <v>44653</v>
      </c>
      <c r="C177" t="s">
        <v>20</v>
      </c>
      <c r="D177" t="s">
        <v>29</v>
      </c>
      <c r="E177" t="s">
        <v>30</v>
      </c>
      <c r="F177">
        <v>61.3</v>
      </c>
      <c r="G177">
        <v>1</v>
      </c>
      <c r="H177">
        <v>-190.14</v>
      </c>
      <c r="I177">
        <f>YEAR(SalesData[[#This Row],[Order Date]])</f>
        <v>2022</v>
      </c>
    </row>
    <row r="178" spans="1:9" x14ac:dyDescent="0.25">
      <c r="A178" t="s">
        <v>200</v>
      </c>
      <c r="B178" s="1">
        <v>44866</v>
      </c>
      <c r="C178" t="s">
        <v>13</v>
      </c>
      <c r="D178" t="s">
        <v>10</v>
      </c>
      <c r="E178" t="s">
        <v>24</v>
      </c>
      <c r="F178">
        <v>135.52000000000001</v>
      </c>
      <c r="G178">
        <v>4</v>
      </c>
      <c r="H178">
        <v>53.61</v>
      </c>
      <c r="I178">
        <f>YEAR(SalesData[[#This Row],[Order Date]])</f>
        <v>2022</v>
      </c>
    </row>
    <row r="179" spans="1:9" x14ac:dyDescent="0.25">
      <c r="A179" t="s">
        <v>201</v>
      </c>
      <c r="B179" s="1">
        <v>44901</v>
      </c>
      <c r="C179" t="s">
        <v>20</v>
      </c>
      <c r="D179" t="s">
        <v>29</v>
      </c>
      <c r="E179" t="s">
        <v>30</v>
      </c>
      <c r="F179">
        <v>645.79</v>
      </c>
      <c r="G179">
        <v>4</v>
      </c>
      <c r="H179">
        <v>-59.32</v>
      </c>
      <c r="I179">
        <f>YEAR(SalesData[[#This Row],[Order Date]])</f>
        <v>2022</v>
      </c>
    </row>
    <row r="180" spans="1:9" x14ac:dyDescent="0.25">
      <c r="A180" t="s">
        <v>202</v>
      </c>
      <c r="B180" s="1">
        <v>45008</v>
      </c>
      <c r="C180" t="s">
        <v>16</v>
      </c>
      <c r="D180" t="s">
        <v>10</v>
      </c>
      <c r="E180" t="s">
        <v>24</v>
      </c>
      <c r="F180">
        <v>586.61</v>
      </c>
      <c r="G180">
        <v>3</v>
      </c>
      <c r="H180">
        <v>-58.72</v>
      </c>
      <c r="I180">
        <f>YEAR(SalesData[[#This Row],[Order Date]])</f>
        <v>2023</v>
      </c>
    </row>
    <row r="181" spans="1:9" x14ac:dyDescent="0.25">
      <c r="A181" t="s">
        <v>203</v>
      </c>
      <c r="B181" s="1">
        <v>44693</v>
      </c>
      <c r="C181" t="s">
        <v>16</v>
      </c>
      <c r="D181" t="s">
        <v>10</v>
      </c>
      <c r="E181" t="s">
        <v>14</v>
      </c>
      <c r="F181">
        <v>590.52</v>
      </c>
      <c r="G181">
        <v>2</v>
      </c>
      <c r="H181">
        <v>215.6</v>
      </c>
      <c r="I181">
        <f>YEAR(SalesData[[#This Row],[Order Date]])</f>
        <v>2022</v>
      </c>
    </row>
    <row r="182" spans="1:9" x14ac:dyDescent="0.25">
      <c r="A182" t="s">
        <v>204</v>
      </c>
      <c r="B182" s="1">
        <v>44933</v>
      </c>
      <c r="C182" t="s">
        <v>13</v>
      </c>
      <c r="D182" t="s">
        <v>29</v>
      </c>
      <c r="E182" t="s">
        <v>50</v>
      </c>
      <c r="F182">
        <v>143.08000000000001</v>
      </c>
      <c r="G182">
        <v>5</v>
      </c>
      <c r="H182">
        <v>-47.91</v>
      </c>
      <c r="I182">
        <f>YEAR(SalesData[[#This Row],[Order Date]])</f>
        <v>2023</v>
      </c>
    </row>
    <row r="183" spans="1:9" x14ac:dyDescent="0.25">
      <c r="A183" t="s">
        <v>205</v>
      </c>
      <c r="B183" s="1">
        <v>44936</v>
      </c>
      <c r="C183" t="s">
        <v>13</v>
      </c>
      <c r="D183" t="s">
        <v>10</v>
      </c>
      <c r="E183" t="s">
        <v>24</v>
      </c>
      <c r="F183">
        <v>900.54</v>
      </c>
      <c r="G183">
        <v>1</v>
      </c>
      <c r="H183">
        <v>-55.76</v>
      </c>
      <c r="I183">
        <f>YEAR(SalesData[[#This Row],[Order Date]])</f>
        <v>2023</v>
      </c>
    </row>
    <row r="184" spans="1:9" x14ac:dyDescent="0.25">
      <c r="A184" t="s">
        <v>206</v>
      </c>
      <c r="B184" s="1">
        <v>44793</v>
      </c>
      <c r="C184" t="s">
        <v>20</v>
      </c>
      <c r="D184" t="s">
        <v>10</v>
      </c>
      <c r="E184" t="s">
        <v>11</v>
      </c>
      <c r="F184">
        <v>77.27</v>
      </c>
      <c r="G184">
        <v>9</v>
      </c>
      <c r="H184">
        <v>-164.61</v>
      </c>
      <c r="I184">
        <f>YEAR(SalesData[[#This Row],[Order Date]])</f>
        <v>2022</v>
      </c>
    </row>
    <row r="185" spans="1:9" x14ac:dyDescent="0.25">
      <c r="A185" t="s">
        <v>207</v>
      </c>
      <c r="B185" s="1">
        <v>44742</v>
      </c>
      <c r="C185" t="s">
        <v>9</v>
      </c>
      <c r="D185" t="s">
        <v>17</v>
      </c>
      <c r="E185" t="s">
        <v>62</v>
      </c>
      <c r="F185">
        <v>306.12</v>
      </c>
      <c r="G185">
        <v>7</v>
      </c>
      <c r="H185">
        <v>298.39999999999998</v>
      </c>
      <c r="I185">
        <f>YEAR(SalesData[[#This Row],[Order Date]])</f>
        <v>2022</v>
      </c>
    </row>
    <row r="186" spans="1:9" x14ac:dyDescent="0.25">
      <c r="A186" t="s">
        <v>208</v>
      </c>
      <c r="B186" s="1">
        <v>44802</v>
      </c>
      <c r="C186" t="s">
        <v>16</v>
      </c>
      <c r="D186" t="s">
        <v>29</v>
      </c>
      <c r="E186" t="s">
        <v>30</v>
      </c>
      <c r="F186">
        <v>323.69</v>
      </c>
      <c r="G186">
        <v>8</v>
      </c>
      <c r="H186">
        <v>-115.07</v>
      </c>
      <c r="I186">
        <f>YEAR(SalesData[[#This Row],[Order Date]])</f>
        <v>2022</v>
      </c>
    </row>
    <row r="187" spans="1:9" x14ac:dyDescent="0.25">
      <c r="A187" t="s">
        <v>209</v>
      </c>
      <c r="B187" s="1">
        <v>45183</v>
      </c>
      <c r="C187" t="s">
        <v>13</v>
      </c>
      <c r="D187" t="s">
        <v>29</v>
      </c>
      <c r="E187" t="s">
        <v>40</v>
      </c>
      <c r="F187">
        <v>402.55</v>
      </c>
      <c r="G187">
        <v>3</v>
      </c>
      <c r="H187">
        <v>18.04</v>
      </c>
      <c r="I187">
        <f>YEAR(SalesData[[#This Row],[Order Date]])</f>
        <v>2023</v>
      </c>
    </row>
    <row r="188" spans="1:9" x14ac:dyDescent="0.25">
      <c r="A188" t="s">
        <v>210</v>
      </c>
      <c r="B188" s="1">
        <v>44835</v>
      </c>
      <c r="C188" t="s">
        <v>9</v>
      </c>
      <c r="D188" t="s">
        <v>29</v>
      </c>
      <c r="E188" t="s">
        <v>30</v>
      </c>
      <c r="F188">
        <v>70.47</v>
      </c>
      <c r="G188">
        <v>2</v>
      </c>
      <c r="H188">
        <v>160.51</v>
      </c>
      <c r="I188">
        <f>YEAR(SalesData[[#This Row],[Order Date]])</f>
        <v>2022</v>
      </c>
    </row>
    <row r="189" spans="1:9" x14ac:dyDescent="0.25">
      <c r="A189" t="s">
        <v>211</v>
      </c>
      <c r="B189" s="1">
        <v>44856</v>
      </c>
      <c r="C189" t="s">
        <v>20</v>
      </c>
      <c r="D189" t="s">
        <v>17</v>
      </c>
      <c r="E189" t="s">
        <v>27</v>
      </c>
      <c r="F189">
        <v>170.79</v>
      </c>
      <c r="G189">
        <v>6</v>
      </c>
      <c r="H189">
        <v>188.92</v>
      </c>
      <c r="I189">
        <f>YEAR(SalesData[[#This Row],[Order Date]])</f>
        <v>2022</v>
      </c>
    </row>
    <row r="190" spans="1:9" x14ac:dyDescent="0.25">
      <c r="A190" t="s">
        <v>212</v>
      </c>
      <c r="B190" s="1">
        <v>44998</v>
      </c>
      <c r="C190" t="s">
        <v>13</v>
      </c>
      <c r="D190" t="s">
        <v>29</v>
      </c>
      <c r="E190" t="s">
        <v>40</v>
      </c>
      <c r="F190">
        <v>824.23</v>
      </c>
      <c r="G190">
        <v>1</v>
      </c>
      <c r="H190">
        <v>-25.46</v>
      </c>
      <c r="I190">
        <f>YEAR(SalesData[[#This Row],[Order Date]])</f>
        <v>2023</v>
      </c>
    </row>
    <row r="191" spans="1:9" x14ac:dyDescent="0.25">
      <c r="A191" t="s">
        <v>213</v>
      </c>
      <c r="B191" s="1">
        <v>44589</v>
      </c>
      <c r="C191" t="s">
        <v>13</v>
      </c>
      <c r="D191" t="s">
        <v>10</v>
      </c>
      <c r="E191" t="s">
        <v>14</v>
      </c>
      <c r="F191">
        <v>609.57000000000005</v>
      </c>
      <c r="G191">
        <v>4</v>
      </c>
      <c r="H191">
        <v>-94.4</v>
      </c>
      <c r="I191">
        <f>YEAR(SalesData[[#This Row],[Order Date]])</f>
        <v>2022</v>
      </c>
    </row>
    <row r="192" spans="1:9" x14ac:dyDescent="0.25">
      <c r="A192" t="s">
        <v>214</v>
      </c>
      <c r="B192" s="1">
        <v>45044</v>
      </c>
      <c r="C192" t="s">
        <v>13</v>
      </c>
      <c r="D192" t="s">
        <v>17</v>
      </c>
      <c r="E192" t="s">
        <v>27</v>
      </c>
      <c r="F192">
        <v>826.45</v>
      </c>
      <c r="G192">
        <v>5</v>
      </c>
      <c r="H192">
        <v>148.30000000000001</v>
      </c>
      <c r="I192">
        <f>YEAR(SalesData[[#This Row],[Order Date]])</f>
        <v>2023</v>
      </c>
    </row>
    <row r="193" spans="1:9" x14ac:dyDescent="0.25">
      <c r="A193" t="s">
        <v>215</v>
      </c>
      <c r="B193" s="1">
        <v>44771</v>
      </c>
      <c r="C193" t="s">
        <v>16</v>
      </c>
      <c r="D193" t="s">
        <v>29</v>
      </c>
      <c r="E193" t="s">
        <v>50</v>
      </c>
      <c r="F193">
        <v>701.85</v>
      </c>
      <c r="G193">
        <v>8</v>
      </c>
      <c r="H193">
        <v>211.9</v>
      </c>
      <c r="I193">
        <f>YEAR(SalesData[[#This Row],[Order Date]])</f>
        <v>2022</v>
      </c>
    </row>
    <row r="194" spans="1:9" x14ac:dyDescent="0.25">
      <c r="A194" t="s">
        <v>216</v>
      </c>
      <c r="B194" s="1">
        <v>45096</v>
      </c>
      <c r="C194" t="s">
        <v>20</v>
      </c>
      <c r="D194" t="s">
        <v>17</v>
      </c>
      <c r="E194" t="s">
        <v>62</v>
      </c>
      <c r="F194">
        <v>41.54</v>
      </c>
      <c r="G194">
        <v>2</v>
      </c>
      <c r="H194">
        <v>-38.49</v>
      </c>
      <c r="I194">
        <f>YEAR(SalesData[[#This Row],[Order Date]])</f>
        <v>2023</v>
      </c>
    </row>
    <row r="195" spans="1:9" x14ac:dyDescent="0.25">
      <c r="A195" t="s">
        <v>217</v>
      </c>
      <c r="B195" s="1">
        <v>45064</v>
      </c>
      <c r="C195" t="s">
        <v>13</v>
      </c>
      <c r="D195" t="s">
        <v>10</v>
      </c>
      <c r="E195" t="s">
        <v>24</v>
      </c>
      <c r="F195">
        <v>672.85</v>
      </c>
      <c r="G195">
        <v>6</v>
      </c>
      <c r="H195">
        <v>-53.36</v>
      </c>
      <c r="I195">
        <f>YEAR(SalesData[[#This Row],[Order Date]])</f>
        <v>2023</v>
      </c>
    </row>
    <row r="196" spans="1:9" x14ac:dyDescent="0.25">
      <c r="A196" t="s">
        <v>218</v>
      </c>
      <c r="B196" s="1">
        <v>45132</v>
      </c>
      <c r="C196" t="s">
        <v>9</v>
      </c>
      <c r="D196" t="s">
        <v>29</v>
      </c>
      <c r="E196" t="s">
        <v>30</v>
      </c>
      <c r="F196">
        <v>186.86</v>
      </c>
      <c r="G196">
        <v>3</v>
      </c>
      <c r="H196">
        <v>90.29</v>
      </c>
      <c r="I196">
        <f>YEAR(SalesData[[#This Row],[Order Date]])</f>
        <v>2023</v>
      </c>
    </row>
    <row r="197" spans="1:9" x14ac:dyDescent="0.25">
      <c r="A197" t="s">
        <v>219</v>
      </c>
      <c r="B197" s="1">
        <v>44729</v>
      </c>
      <c r="C197" t="s">
        <v>9</v>
      </c>
      <c r="D197" t="s">
        <v>29</v>
      </c>
      <c r="E197" t="s">
        <v>30</v>
      </c>
      <c r="F197">
        <v>387.85</v>
      </c>
      <c r="G197">
        <v>6</v>
      </c>
      <c r="H197">
        <v>293.42</v>
      </c>
      <c r="I197">
        <f>YEAR(SalesData[[#This Row],[Order Date]])</f>
        <v>2022</v>
      </c>
    </row>
    <row r="198" spans="1:9" x14ac:dyDescent="0.25">
      <c r="A198" t="s">
        <v>220</v>
      </c>
      <c r="B198" s="1">
        <v>44781</v>
      </c>
      <c r="C198" t="s">
        <v>9</v>
      </c>
      <c r="D198" t="s">
        <v>10</v>
      </c>
      <c r="E198" t="s">
        <v>11</v>
      </c>
      <c r="F198">
        <v>922.28</v>
      </c>
      <c r="G198">
        <v>3</v>
      </c>
      <c r="H198">
        <v>-64.5</v>
      </c>
      <c r="I198">
        <f>YEAR(SalesData[[#This Row],[Order Date]])</f>
        <v>2022</v>
      </c>
    </row>
    <row r="199" spans="1:9" x14ac:dyDescent="0.25">
      <c r="A199" t="s">
        <v>221</v>
      </c>
      <c r="B199" s="1">
        <v>45045</v>
      </c>
      <c r="C199" t="s">
        <v>20</v>
      </c>
      <c r="D199" t="s">
        <v>10</v>
      </c>
      <c r="E199" t="s">
        <v>24</v>
      </c>
      <c r="F199">
        <v>198.62</v>
      </c>
      <c r="G199">
        <v>2</v>
      </c>
      <c r="H199">
        <v>3.38</v>
      </c>
      <c r="I199">
        <f>YEAR(SalesData[[#This Row],[Order Date]])</f>
        <v>2023</v>
      </c>
    </row>
    <row r="200" spans="1:9" x14ac:dyDescent="0.25">
      <c r="A200" t="s">
        <v>222</v>
      </c>
      <c r="B200" s="1">
        <v>45140</v>
      </c>
      <c r="C200" t="s">
        <v>13</v>
      </c>
      <c r="D200" t="s">
        <v>29</v>
      </c>
      <c r="E200" t="s">
        <v>30</v>
      </c>
      <c r="F200">
        <v>191.45</v>
      </c>
      <c r="G200">
        <v>9</v>
      </c>
      <c r="H200">
        <v>55.4</v>
      </c>
      <c r="I200">
        <f>YEAR(SalesData[[#This Row],[Order Date]])</f>
        <v>2023</v>
      </c>
    </row>
    <row r="201" spans="1:9" x14ac:dyDescent="0.25">
      <c r="A201" t="s">
        <v>223</v>
      </c>
      <c r="B201" s="1">
        <v>44944</v>
      </c>
      <c r="C201" t="s">
        <v>20</v>
      </c>
      <c r="D201" t="s">
        <v>17</v>
      </c>
      <c r="E201" t="s">
        <v>27</v>
      </c>
      <c r="F201">
        <v>777.73</v>
      </c>
      <c r="G201">
        <v>1</v>
      </c>
      <c r="H201">
        <v>-3.36</v>
      </c>
      <c r="I201">
        <f>YEAR(SalesData[[#This Row],[Order Date]])</f>
        <v>2023</v>
      </c>
    </row>
    <row r="202" spans="1:9" x14ac:dyDescent="0.25">
      <c r="A202" t="s">
        <v>224</v>
      </c>
      <c r="B202" s="1">
        <v>44595</v>
      </c>
      <c r="C202" t="s">
        <v>13</v>
      </c>
      <c r="D202" t="s">
        <v>10</v>
      </c>
      <c r="E202" t="s">
        <v>24</v>
      </c>
      <c r="F202">
        <v>400.71</v>
      </c>
      <c r="G202">
        <v>10</v>
      </c>
      <c r="H202">
        <v>-68.650000000000006</v>
      </c>
      <c r="I202">
        <f>YEAR(SalesData[[#This Row],[Order Date]])</f>
        <v>2022</v>
      </c>
    </row>
    <row r="203" spans="1:9" x14ac:dyDescent="0.25">
      <c r="A203" t="s">
        <v>225</v>
      </c>
      <c r="B203" s="1">
        <v>45195</v>
      </c>
      <c r="C203" t="s">
        <v>16</v>
      </c>
      <c r="D203" t="s">
        <v>17</v>
      </c>
      <c r="E203" t="s">
        <v>27</v>
      </c>
      <c r="F203">
        <v>307.45</v>
      </c>
      <c r="G203">
        <v>3</v>
      </c>
      <c r="H203">
        <v>-30.44</v>
      </c>
      <c r="I203">
        <f>YEAR(SalesData[[#This Row],[Order Date]])</f>
        <v>2023</v>
      </c>
    </row>
    <row r="204" spans="1:9" x14ac:dyDescent="0.25">
      <c r="A204" t="s">
        <v>226</v>
      </c>
      <c r="B204" s="1">
        <v>45064</v>
      </c>
      <c r="C204" t="s">
        <v>9</v>
      </c>
      <c r="D204" t="s">
        <v>29</v>
      </c>
      <c r="E204" t="s">
        <v>30</v>
      </c>
      <c r="F204">
        <v>974.4</v>
      </c>
      <c r="G204">
        <v>1</v>
      </c>
      <c r="H204">
        <v>-88.82</v>
      </c>
      <c r="I204">
        <f>YEAR(SalesData[[#This Row],[Order Date]])</f>
        <v>2023</v>
      </c>
    </row>
    <row r="205" spans="1:9" x14ac:dyDescent="0.25">
      <c r="A205" t="s">
        <v>227</v>
      </c>
      <c r="B205" s="1">
        <v>45277</v>
      </c>
      <c r="C205" t="s">
        <v>20</v>
      </c>
      <c r="D205" t="s">
        <v>17</v>
      </c>
      <c r="E205" t="s">
        <v>18</v>
      </c>
      <c r="F205">
        <v>315.37</v>
      </c>
      <c r="G205">
        <v>8</v>
      </c>
      <c r="H205">
        <v>-131.08000000000001</v>
      </c>
      <c r="I205">
        <f>YEAR(SalesData[[#This Row],[Order Date]])</f>
        <v>2023</v>
      </c>
    </row>
    <row r="206" spans="1:9" x14ac:dyDescent="0.25">
      <c r="A206" t="s">
        <v>228</v>
      </c>
      <c r="B206" s="1">
        <v>45198</v>
      </c>
      <c r="C206" t="s">
        <v>20</v>
      </c>
      <c r="D206" t="s">
        <v>10</v>
      </c>
      <c r="E206" t="s">
        <v>14</v>
      </c>
      <c r="F206">
        <v>535.91999999999996</v>
      </c>
      <c r="G206">
        <v>6</v>
      </c>
      <c r="H206">
        <v>-35.130000000000003</v>
      </c>
      <c r="I206">
        <f>YEAR(SalesData[[#This Row],[Order Date]])</f>
        <v>2023</v>
      </c>
    </row>
    <row r="207" spans="1:9" x14ac:dyDescent="0.25">
      <c r="A207" t="s">
        <v>229</v>
      </c>
      <c r="B207" s="1">
        <v>45061</v>
      </c>
      <c r="C207" t="s">
        <v>20</v>
      </c>
      <c r="D207" t="s">
        <v>10</v>
      </c>
      <c r="E207" t="s">
        <v>11</v>
      </c>
      <c r="F207">
        <v>235.75</v>
      </c>
      <c r="G207">
        <v>8</v>
      </c>
      <c r="H207">
        <v>17.04</v>
      </c>
      <c r="I207">
        <f>YEAR(SalesData[[#This Row],[Order Date]])</f>
        <v>2023</v>
      </c>
    </row>
    <row r="208" spans="1:9" x14ac:dyDescent="0.25">
      <c r="A208" t="s">
        <v>230</v>
      </c>
      <c r="B208" s="1">
        <v>45268</v>
      </c>
      <c r="C208" t="s">
        <v>9</v>
      </c>
      <c r="D208" t="s">
        <v>17</v>
      </c>
      <c r="E208" t="s">
        <v>27</v>
      </c>
      <c r="F208">
        <v>626.5</v>
      </c>
      <c r="G208">
        <v>6</v>
      </c>
      <c r="H208">
        <v>124.31</v>
      </c>
      <c r="I208">
        <f>YEAR(SalesData[[#This Row],[Order Date]])</f>
        <v>2023</v>
      </c>
    </row>
    <row r="209" spans="1:9" x14ac:dyDescent="0.25">
      <c r="A209" t="s">
        <v>231</v>
      </c>
      <c r="B209" s="1">
        <v>44823</v>
      </c>
      <c r="C209" t="s">
        <v>9</v>
      </c>
      <c r="D209" t="s">
        <v>17</v>
      </c>
      <c r="E209" t="s">
        <v>62</v>
      </c>
      <c r="F209">
        <v>513.72</v>
      </c>
      <c r="G209">
        <v>6</v>
      </c>
      <c r="H209">
        <v>57.77</v>
      </c>
      <c r="I209">
        <f>YEAR(SalesData[[#This Row],[Order Date]])</f>
        <v>2022</v>
      </c>
    </row>
    <row r="210" spans="1:9" x14ac:dyDescent="0.25">
      <c r="A210" t="s">
        <v>232</v>
      </c>
      <c r="B210" s="1">
        <v>45005</v>
      </c>
      <c r="C210" t="s">
        <v>16</v>
      </c>
      <c r="D210" t="s">
        <v>17</v>
      </c>
      <c r="E210" t="s">
        <v>62</v>
      </c>
      <c r="F210">
        <v>506.08</v>
      </c>
      <c r="G210">
        <v>10</v>
      </c>
      <c r="H210">
        <v>-190.76</v>
      </c>
      <c r="I210">
        <f>YEAR(SalesData[[#This Row],[Order Date]])</f>
        <v>2023</v>
      </c>
    </row>
    <row r="211" spans="1:9" x14ac:dyDescent="0.25">
      <c r="A211" t="s">
        <v>233</v>
      </c>
      <c r="B211" s="1">
        <v>45078</v>
      </c>
      <c r="C211" t="s">
        <v>13</v>
      </c>
      <c r="D211" t="s">
        <v>29</v>
      </c>
      <c r="E211" t="s">
        <v>50</v>
      </c>
      <c r="F211">
        <v>639.4</v>
      </c>
      <c r="G211">
        <v>7</v>
      </c>
      <c r="H211">
        <v>-133.30000000000001</v>
      </c>
      <c r="I211">
        <f>YEAR(SalesData[[#This Row],[Order Date]])</f>
        <v>2023</v>
      </c>
    </row>
    <row r="212" spans="1:9" x14ac:dyDescent="0.25">
      <c r="A212" t="s">
        <v>234</v>
      </c>
      <c r="B212" s="1">
        <v>44587</v>
      </c>
      <c r="C212" t="s">
        <v>13</v>
      </c>
      <c r="D212" t="s">
        <v>17</v>
      </c>
      <c r="E212" t="s">
        <v>27</v>
      </c>
      <c r="F212">
        <v>675.61</v>
      </c>
      <c r="G212">
        <v>10</v>
      </c>
      <c r="H212">
        <v>4.5</v>
      </c>
      <c r="I212">
        <f>YEAR(SalesData[[#This Row],[Order Date]])</f>
        <v>2022</v>
      </c>
    </row>
    <row r="213" spans="1:9" x14ac:dyDescent="0.25">
      <c r="A213" t="s">
        <v>235</v>
      </c>
      <c r="B213" s="1">
        <v>45095</v>
      </c>
      <c r="C213" t="s">
        <v>20</v>
      </c>
      <c r="D213" t="s">
        <v>29</v>
      </c>
      <c r="E213" t="s">
        <v>40</v>
      </c>
      <c r="F213">
        <v>600.30999999999995</v>
      </c>
      <c r="G213">
        <v>5</v>
      </c>
      <c r="H213">
        <v>-168.27</v>
      </c>
      <c r="I213">
        <f>YEAR(SalesData[[#This Row],[Order Date]])</f>
        <v>2023</v>
      </c>
    </row>
    <row r="214" spans="1:9" x14ac:dyDescent="0.25">
      <c r="A214" t="s">
        <v>236</v>
      </c>
      <c r="B214" s="1">
        <v>44605</v>
      </c>
      <c r="C214" t="s">
        <v>13</v>
      </c>
      <c r="D214" t="s">
        <v>17</v>
      </c>
      <c r="E214" t="s">
        <v>27</v>
      </c>
      <c r="F214">
        <v>670.16</v>
      </c>
      <c r="G214">
        <v>5</v>
      </c>
      <c r="H214">
        <v>296.20999999999998</v>
      </c>
      <c r="I214">
        <f>YEAR(SalesData[[#This Row],[Order Date]])</f>
        <v>2022</v>
      </c>
    </row>
    <row r="215" spans="1:9" x14ac:dyDescent="0.25">
      <c r="A215" t="s">
        <v>237</v>
      </c>
      <c r="B215" s="1">
        <v>45273</v>
      </c>
      <c r="C215" t="s">
        <v>13</v>
      </c>
      <c r="D215" t="s">
        <v>10</v>
      </c>
      <c r="E215" t="s">
        <v>14</v>
      </c>
      <c r="F215">
        <v>754.23</v>
      </c>
      <c r="G215">
        <v>5</v>
      </c>
      <c r="H215">
        <v>67.22</v>
      </c>
      <c r="I215">
        <f>YEAR(SalesData[[#This Row],[Order Date]])</f>
        <v>2023</v>
      </c>
    </row>
    <row r="216" spans="1:9" x14ac:dyDescent="0.25">
      <c r="A216" t="s">
        <v>238</v>
      </c>
      <c r="B216" s="1">
        <v>45206</v>
      </c>
      <c r="C216" t="s">
        <v>20</v>
      </c>
      <c r="D216" t="s">
        <v>10</v>
      </c>
      <c r="E216" t="s">
        <v>11</v>
      </c>
      <c r="F216">
        <v>60.19</v>
      </c>
      <c r="G216">
        <v>4</v>
      </c>
      <c r="H216">
        <v>219.04</v>
      </c>
      <c r="I216">
        <f>YEAR(SalesData[[#This Row],[Order Date]])</f>
        <v>2023</v>
      </c>
    </row>
    <row r="217" spans="1:9" x14ac:dyDescent="0.25">
      <c r="A217" t="s">
        <v>239</v>
      </c>
      <c r="B217" s="1">
        <v>44837</v>
      </c>
      <c r="C217" t="s">
        <v>13</v>
      </c>
      <c r="D217" t="s">
        <v>10</v>
      </c>
      <c r="E217" t="s">
        <v>24</v>
      </c>
      <c r="F217">
        <v>163.93</v>
      </c>
      <c r="G217">
        <v>2</v>
      </c>
      <c r="H217">
        <v>93.74</v>
      </c>
      <c r="I217">
        <f>YEAR(SalesData[[#This Row],[Order Date]])</f>
        <v>2022</v>
      </c>
    </row>
    <row r="218" spans="1:9" x14ac:dyDescent="0.25">
      <c r="A218" t="s">
        <v>240</v>
      </c>
      <c r="B218" s="1">
        <v>45022</v>
      </c>
      <c r="C218" t="s">
        <v>9</v>
      </c>
      <c r="D218" t="s">
        <v>29</v>
      </c>
      <c r="E218" t="s">
        <v>30</v>
      </c>
      <c r="F218">
        <v>627.04999999999995</v>
      </c>
      <c r="G218">
        <v>4</v>
      </c>
      <c r="H218">
        <v>-188.77</v>
      </c>
      <c r="I218">
        <f>YEAR(SalesData[[#This Row],[Order Date]])</f>
        <v>2023</v>
      </c>
    </row>
    <row r="219" spans="1:9" x14ac:dyDescent="0.25">
      <c r="A219" t="s">
        <v>241</v>
      </c>
      <c r="B219" s="1">
        <v>44614</v>
      </c>
      <c r="C219" t="s">
        <v>13</v>
      </c>
      <c r="D219" t="s">
        <v>29</v>
      </c>
      <c r="E219" t="s">
        <v>50</v>
      </c>
      <c r="F219">
        <v>372.25</v>
      </c>
      <c r="G219">
        <v>8</v>
      </c>
      <c r="H219">
        <v>-129.56</v>
      </c>
      <c r="I219">
        <f>YEAR(SalesData[[#This Row],[Order Date]])</f>
        <v>2022</v>
      </c>
    </row>
    <row r="220" spans="1:9" x14ac:dyDescent="0.25">
      <c r="A220" t="s">
        <v>242</v>
      </c>
      <c r="B220" s="1">
        <v>45111</v>
      </c>
      <c r="C220" t="s">
        <v>16</v>
      </c>
      <c r="D220" t="s">
        <v>29</v>
      </c>
      <c r="E220" t="s">
        <v>30</v>
      </c>
      <c r="F220">
        <v>660.83</v>
      </c>
      <c r="G220">
        <v>5</v>
      </c>
      <c r="H220">
        <v>203.36</v>
      </c>
      <c r="I220">
        <f>YEAR(SalesData[[#This Row],[Order Date]])</f>
        <v>2023</v>
      </c>
    </row>
    <row r="221" spans="1:9" x14ac:dyDescent="0.25">
      <c r="A221" t="s">
        <v>243</v>
      </c>
      <c r="B221" s="1">
        <v>44829</v>
      </c>
      <c r="C221" t="s">
        <v>20</v>
      </c>
      <c r="D221" t="s">
        <v>10</v>
      </c>
      <c r="E221" t="s">
        <v>11</v>
      </c>
      <c r="F221">
        <v>767.45</v>
      </c>
      <c r="G221">
        <v>9</v>
      </c>
      <c r="H221">
        <v>-172.46</v>
      </c>
      <c r="I221">
        <f>YEAR(SalesData[[#This Row],[Order Date]])</f>
        <v>2022</v>
      </c>
    </row>
    <row r="222" spans="1:9" x14ac:dyDescent="0.25">
      <c r="A222" t="s">
        <v>244</v>
      </c>
      <c r="B222" s="1">
        <v>44921</v>
      </c>
      <c r="C222" t="s">
        <v>13</v>
      </c>
      <c r="D222" t="s">
        <v>10</v>
      </c>
      <c r="E222" t="s">
        <v>11</v>
      </c>
      <c r="F222">
        <v>612.46</v>
      </c>
      <c r="G222">
        <v>7</v>
      </c>
      <c r="H222">
        <v>209.26</v>
      </c>
      <c r="I222">
        <f>YEAR(SalesData[[#This Row],[Order Date]])</f>
        <v>2022</v>
      </c>
    </row>
    <row r="223" spans="1:9" x14ac:dyDescent="0.25">
      <c r="A223" t="s">
        <v>245</v>
      </c>
      <c r="B223" s="1">
        <v>44831</v>
      </c>
      <c r="C223" t="s">
        <v>9</v>
      </c>
      <c r="D223" t="s">
        <v>10</v>
      </c>
      <c r="E223" t="s">
        <v>11</v>
      </c>
      <c r="F223">
        <v>444.98</v>
      </c>
      <c r="G223">
        <v>9</v>
      </c>
      <c r="H223">
        <v>12.9</v>
      </c>
      <c r="I223">
        <f>YEAR(SalesData[[#This Row],[Order Date]])</f>
        <v>2022</v>
      </c>
    </row>
    <row r="224" spans="1:9" x14ac:dyDescent="0.25">
      <c r="A224" t="s">
        <v>246</v>
      </c>
      <c r="B224" s="1">
        <v>44612</v>
      </c>
      <c r="C224" t="s">
        <v>9</v>
      </c>
      <c r="D224" t="s">
        <v>10</v>
      </c>
      <c r="E224" t="s">
        <v>24</v>
      </c>
      <c r="F224">
        <v>67.59</v>
      </c>
      <c r="G224">
        <v>9</v>
      </c>
      <c r="H224">
        <v>72.02</v>
      </c>
      <c r="I224">
        <f>YEAR(SalesData[[#This Row],[Order Date]])</f>
        <v>2022</v>
      </c>
    </row>
    <row r="225" spans="1:9" x14ac:dyDescent="0.25">
      <c r="A225" t="s">
        <v>247</v>
      </c>
      <c r="B225" s="1">
        <v>45064</v>
      </c>
      <c r="C225" t="s">
        <v>13</v>
      </c>
      <c r="D225" t="s">
        <v>10</v>
      </c>
      <c r="E225" t="s">
        <v>14</v>
      </c>
      <c r="F225">
        <v>289.97000000000003</v>
      </c>
      <c r="G225">
        <v>9</v>
      </c>
      <c r="H225">
        <v>262.54000000000002</v>
      </c>
      <c r="I225">
        <f>YEAR(SalesData[[#This Row],[Order Date]])</f>
        <v>2023</v>
      </c>
    </row>
    <row r="226" spans="1:9" x14ac:dyDescent="0.25">
      <c r="A226" t="s">
        <v>248</v>
      </c>
      <c r="B226" s="1">
        <v>45182</v>
      </c>
      <c r="C226" t="s">
        <v>13</v>
      </c>
      <c r="D226" t="s">
        <v>29</v>
      </c>
      <c r="E226" t="s">
        <v>50</v>
      </c>
      <c r="F226">
        <v>534.69000000000005</v>
      </c>
      <c r="G226">
        <v>7</v>
      </c>
      <c r="H226">
        <v>-71.44</v>
      </c>
      <c r="I226">
        <f>YEAR(SalesData[[#This Row],[Order Date]])</f>
        <v>2023</v>
      </c>
    </row>
    <row r="227" spans="1:9" x14ac:dyDescent="0.25">
      <c r="A227" t="s">
        <v>249</v>
      </c>
      <c r="B227" s="1">
        <v>44864</v>
      </c>
      <c r="C227" t="s">
        <v>13</v>
      </c>
      <c r="D227" t="s">
        <v>17</v>
      </c>
      <c r="E227" t="s">
        <v>18</v>
      </c>
      <c r="F227">
        <v>702.27</v>
      </c>
      <c r="G227">
        <v>3</v>
      </c>
      <c r="H227">
        <v>-111.7</v>
      </c>
      <c r="I227">
        <f>YEAR(SalesData[[#This Row],[Order Date]])</f>
        <v>2022</v>
      </c>
    </row>
    <row r="228" spans="1:9" x14ac:dyDescent="0.25">
      <c r="A228" t="s">
        <v>250</v>
      </c>
      <c r="B228" s="1">
        <v>44822</v>
      </c>
      <c r="C228" t="s">
        <v>20</v>
      </c>
      <c r="D228" t="s">
        <v>17</v>
      </c>
      <c r="E228" t="s">
        <v>27</v>
      </c>
      <c r="F228">
        <v>484.37</v>
      </c>
      <c r="G228">
        <v>8</v>
      </c>
      <c r="H228">
        <v>49.47</v>
      </c>
      <c r="I228">
        <f>YEAR(SalesData[[#This Row],[Order Date]])</f>
        <v>2022</v>
      </c>
    </row>
    <row r="229" spans="1:9" x14ac:dyDescent="0.25">
      <c r="A229" t="s">
        <v>251</v>
      </c>
      <c r="B229" s="1">
        <v>45098</v>
      </c>
      <c r="C229" t="s">
        <v>13</v>
      </c>
      <c r="D229" t="s">
        <v>29</v>
      </c>
      <c r="E229" t="s">
        <v>50</v>
      </c>
      <c r="F229">
        <v>919.39</v>
      </c>
      <c r="G229">
        <v>6</v>
      </c>
      <c r="H229">
        <v>-12.05</v>
      </c>
      <c r="I229">
        <f>YEAR(SalesData[[#This Row],[Order Date]])</f>
        <v>2023</v>
      </c>
    </row>
    <row r="230" spans="1:9" x14ac:dyDescent="0.25">
      <c r="A230" t="s">
        <v>252</v>
      </c>
      <c r="B230" s="1">
        <v>45287</v>
      </c>
      <c r="C230" t="s">
        <v>16</v>
      </c>
      <c r="D230" t="s">
        <v>10</v>
      </c>
      <c r="E230" t="s">
        <v>11</v>
      </c>
      <c r="F230">
        <v>537.91</v>
      </c>
      <c r="G230">
        <v>8</v>
      </c>
      <c r="H230">
        <v>99.91</v>
      </c>
      <c r="I230">
        <f>YEAR(SalesData[[#This Row],[Order Date]])</f>
        <v>2023</v>
      </c>
    </row>
    <row r="231" spans="1:9" x14ac:dyDescent="0.25">
      <c r="A231" t="s">
        <v>253</v>
      </c>
      <c r="B231" s="1">
        <v>44813</v>
      </c>
      <c r="C231" t="s">
        <v>13</v>
      </c>
      <c r="D231" t="s">
        <v>29</v>
      </c>
      <c r="E231" t="s">
        <v>30</v>
      </c>
      <c r="F231">
        <v>866.83</v>
      </c>
      <c r="G231">
        <v>6</v>
      </c>
      <c r="H231">
        <v>20.41</v>
      </c>
      <c r="I231">
        <f>YEAR(SalesData[[#This Row],[Order Date]])</f>
        <v>2022</v>
      </c>
    </row>
    <row r="232" spans="1:9" x14ac:dyDescent="0.25">
      <c r="A232" t="s">
        <v>254</v>
      </c>
      <c r="B232" s="1">
        <v>44578</v>
      </c>
      <c r="C232" t="s">
        <v>16</v>
      </c>
      <c r="D232" t="s">
        <v>17</v>
      </c>
      <c r="E232" t="s">
        <v>18</v>
      </c>
      <c r="F232">
        <v>902.78</v>
      </c>
      <c r="G232">
        <v>3</v>
      </c>
      <c r="H232">
        <v>276.35000000000002</v>
      </c>
      <c r="I232">
        <f>YEAR(SalesData[[#This Row],[Order Date]])</f>
        <v>2022</v>
      </c>
    </row>
    <row r="233" spans="1:9" x14ac:dyDescent="0.25">
      <c r="A233" t="s">
        <v>255</v>
      </c>
      <c r="B233" s="1">
        <v>45129</v>
      </c>
      <c r="C233" t="s">
        <v>16</v>
      </c>
      <c r="D233" t="s">
        <v>17</v>
      </c>
      <c r="E233" t="s">
        <v>18</v>
      </c>
      <c r="F233">
        <v>240.16</v>
      </c>
      <c r="G233">
        <v>9</v>
      </c>
      <c r="H233">
        <v>238.7</v>
      </c>
      <c r="I233">
        <f>YEAR(SalesData[[#This Row],[Order Date]])</f>
        <v>2023</v>
      </c>
    </row>
    <row r="234" spans="1:9" x14ac:dyDescent="0.25">
      <c r="A234" t="s">
        <v>256</v>
      </c>
      <c r="B234" s="1">
        <v>44826</v>
      </c>
      <c r="C234" t="s">
        <v>16</v>
      </c>
      <c r="D234" t="s">
        <v>10</v>
      </c>
      <c r="E234" t="s">
        <v>11</v>
      </c>
      <c r="F234">
        <v>821.26</v>
      </c>
      <c r="G234">
        <v>10</v>
      </c>
      <c r="H234">
        <v>203.53</v>
      </c>
      <c r="I234">
        <f>YEAR(SalesData[[#This Row],[Order Date]])</f>
        <v>2022</v>
      </c>
    </row>
    <row r="235" spans="1:9" x14ac:dyDescent="0.25">
      <c r="A235" t="s">
        <v>257</v>
      </c>
      <c r="B235" s="1">
        <v>44833</v>
      </c>
      <c r="C235" t="s">
        <v>20</v>
      </c>
      <c r="D235" t="s">
        <v>17</v>
      </c>
      <c r="E235" t="s">
        <v>18</v>
      </c>
      <c r="F235">
        <v>355.23</v>
      </c>
      <c r="G235">
        <v>10</v>
      </c>
      <c r="H235">
        <v>139.6</v>
      </c>
      <c r="I235">
        <f>YEAR(SalesData[[#This Row],[Order Date]])</f>
        <v>2022</v>
      </c>
    </row>
    <row r="236" spans="1:9" x14ac:dyDescent="0.25">
      <c r="A236" t="s">
        <v>258</v>
      </c>
      <c r="B236" s="1">
        <v>44767</v>
      </c>
      <c r="C236" t="s">
        <v>16</v>
      </c>
      <c r="D236" t="s">
        <v>10</v>
      </c>
      <c r="E236" t="s">
        <v>24</v>
      </c>
      <c r="F236">
        <v>924.36</v>
      </c>
      <c r="G236">
        <v>3</v>
      </c>
      <c r="H236">
        <v>-151.41999999999999</v>
      </c>
      <c r="I236">
        <f>YEAR(SalesData[[#This Row],[Order Date]])</f>
        <v>2022</v>
      </c>
    </row>
    <row r="237" spans="1:9" x14ac:dyDescent="0.25">
      <c r="A237" t="s">
        <v>259</v>
      </c>
      <c r="B237" s="1">
        <v>44671</v>
      </c>
      <c r="C237" t="s">
        <v>20</v>
      </c>
      <c r="D237" t="s">
        <v>29</v>
      </c>
      <c r="E237" t="s">
        <v>50</v>
      </c>
      <c r="F237">
        <v>521.87</v>
      </c>
      <c r="G237">
        <v>9</v>
      </c>
      <c r="H237">
        <v>187.65</v>
      </c>
      <c r="I237">
        <f>YEAR(SalesData[[#This Row],[Order Date]])</f>
        <v>2022</v>
      </c>
    </row>
    <row r="238" spans="1:9" x14ac:dyDescent="0.25">
      <c r="A238" t="s">
        <v>260</v>
      </c>
      <c r="B238" s="1">
        <v>44588</v>
      </c>
      <c r="C238" t="s">
        <v>9</v>
      </c>
      <c r="D238" t="s">
        <v>29</v>
      </c>
      <c r="E238" t="s">
        <v>30</v>
      </c>
      <c r="F238">
        <v>311.85000000000002</v>
      </c>
      <c r="G238">
        <v>2</v>
      </c>
      <c r="H238">
        <v>-56.73</v>
      </c>
      <c r="I238">
        <f>YEAR(SalesData[[#This Row],[Order Date]])</f>
        <v>2022</v>
      </c>
    </row>
    <row r="239" spans="1:9" x14ac:dyDescent="0.25">
      <c r="A239" t="s">
        <v>261</v>
      </c>
      <c r="B239" s="1">
        <v>45281</v>
      </c>
      <c r="C239" t="s">
        <v>16</v>
      </c>
      <c r="D239" t="s">
        <v>29</v>
      </c>
      <c r="E239" t="s">
        <v>30</v>
      </c>
      <c r="F239">
        <v>104.84</v>
      </c>
      <c r="G239">
        <v>9</v>
      </c>
      <c r="H239">
        <v>163.04</v>
      </c>
      <c r="I239">
        <f>YEAR(SalesData[[#This Row],[Order Date]])</f>
        <v>2023</v>
      </c>
    </row>
    <row r="240" spans="1:9" x14ac:dyDescent="0.25">
      <c r="A240" t="s">
        <v>262</v>
      </c>
      <c r="B240" s="1">
        <v>44809</v>
      </c>
      <c r="C240" t="s">
        <v>13</v>
      </c>
      <c r="D240" t="s">
        <v>29</v>
      </c>
      <c r="E240" t="s">
        <v>40</v>
      </c>
      <c r="F240">
        <v>403.49</v>
      </c>
      <c r="G240">
        <v>6</v>
      </c>
      <c r="H240">
        <v>8.73</v>
      </c>
      <c r="I240">
        <f>YEAR(SalesData[[#This Row],[Order Date]])</f>
        <v>2022</v>
      </c>
    </row>
    <row r="241" spans="1:9" x14ac:dyDescent="0.25">
      <c r="A241" t="s">
        <v>263</v>
      </c>
      <c r="B241" s="1">
        <v>44849</v>
      </c>
      <c r="C241" t="s">
        <v>13</v>
      </c>
      <c r="D241" t="s">
        <v>17</v>
      </c>
      <c r="E241" t="s">
        <v>62</v>
      </c>
      <c r="F241">
        <v>87.52</v>
      </c>
      <c r="G241">
        <v>1</v>
      </c>
      <c r="H241">
        <v>-92.62</v>
      </c>
      <c r="I241">
        <f>YEAR(SalesData[[#This Row],[Order Date]])</f>
        <v>2022</v>
      </c>
    </row>
    <row r="242" spans="1:9" x14ac:dyDescent="0.25">
      <c r="A242" t="s">
        <v>264</v>
      </c>
      <c r="B242" s="1">
        <v>45271</v>
      </c>
      <c r="C242" t="s">
        <v>20</v>
      </c>
      <c r="D242" t="s">
        <v>17</v>
      </c>
      <c r="E242" t="s">
        <v>27</v>
      </c>
      <c r="F242">
        <v>574.15</v>
      </c>
      <c r="G242">
        <v>3</v>
      </c>
      <c r="H242">
        <v>-123.24</v>
      </c>
      <c r="I242">
        <f>YEAR(SalesData[[#This Row],[Order Date]])</f>
        <v>2023</v>
      </c>
    </row>
    <row r="243" spans="1:9" x14ac:dyDescent="0.25">
      <c r="A243" t="s">
        <v>265</v>
      </c>
      <c r="B243" s="1">
        <v>44961</v>
      </c>
      <c r="C243" t="s">
        <v>16</v>
      </c>
      <c r="D243" t="s">
        <v>29</v>
      </c>
      <c r="E243" t="s">
        <v>50</v>
      </c>
      <c r="F243">
        <v>244.14</v>
      </c>
      <c r="G243">
        <v>10</v>
      </c>
      <c r="H243">
        <v>210</v>
      </c>
      <c r="I243">
        <f>YEAR(SalesData[[#This Row],[Order Date]])</f>
        <v>2023</v>
      </c>
    </row>
    <row r="244" spans="1:9" x14ac:dyDescent="0.25">
      <c r="A244" t="s">
        <v>266</v>
      </c>
      <c r="B244" s="1">
        <v>44669</v>
      </c>
      <c r="C244" t="s">
        <v>13</v>
      </c>
      <c r="D244" t="s">
        <v>29</v>
      </c>
      <c r="E244" t="s">
        <v>30</v>
      </c>
      <c r="F244">
        <v>903</v>
      </c>
      <c r="G244">
        <v>3</v>
      </c>
      <c r="H244">
        <v>216.81</v>
      </c>
      <c r="I244">
        <f>YEAR(SalesData[[#This Row],[Order Date]])</f>
        <v>2022</v>
      </c>
    </row>
    <row r="245" spans="1:9" x14ac:dyDescent="0.25">
      <c r="A245" t="s">
        <v>267</v>
      </c>
      <c r="B245" s="1">
        <v>45233</v>
      </c>
      <c r="C245" t="s">
        <v>20</v>
      </c>
      <c r="D245" t="s">
        <v>29</v>
      </c>
      <c r="E245" t="s">
        <v>30</v>
      </c>
      <c r="F245">
        <v>434</v>
      </c>
      <c r="G245">
        <v>7</v>
      </c>
      <c r="H245">
        <v>237.14</v>
      </c>
      <c r="I245">
        <f>YEAR(SalesData[[#This Row],[Order Date]])</f>
        <v>2023</v>
      </c>
    </row>
    <row r="246" spans="1:9" x14ac:dyDescent="0.25">
      <c r="A246" t="s">
        <v>268</v>
      </c>
      <c r="B246" s="1">
        <v>45000</v>
      </c>
      <c r="C246" t="s">
        <v>16</v>
      </c>
      <c r="D246" t="s">
        <v>29</v>
      </c>
      <c r="E246" t="s">
        <v>40</v>
      </c>
      <c r="F246">
        <v>243.91</v>
      </c>
      <c r="G246">
        <v>6</v>
      </c>
      <c r="H246">
        <v>80.28</v>
      </c>
      <c r="I246">
        <f>YEAR(SalesData[[#This Row],[Order Date]])</f>
        <v>2023</v>
      </c>
    </row>
    <row r="247" spans="1:9" x14ac:dyDescent="0.25">
      <c r="A247" t="s">
        <v>269</v>
      </c>
      <c r="B247" s="1">
        <v>44966</v>
      </c>
      <c r="C247" t="s">
        <v>13</v>
      </c>
      <c r="D247" t="s">
        <v>29</v>
      </c>
      <c r="E247" t="s">
        <v>40</v>
      </c>
      <c r="F247">
        <v>255.62</v>
      </c>
      <c r="G247">
        <v>5</v>
      </c>
      <c r="H247">
        <v>-19.46</v>
      </c>
      <c r="I247">
        <f>YEAR(SalesData[[#This Row],[Order Date]])</f>
        <v>2023</v>
      </c>
    </row>
    <row r="248" spans="1:9" x14ac:dyDescent="0.25">
      <c r="A248" t="s">
        <v>270</v>
      </c>
      <c r="B248" s="1">
        <v>44689</v>
      </c>
      <c r="C248" t="s">
        <v>20</v>
      </c>
      <c r="D248" t="s">
        <v>10</v>
      </c>
      <c r="E248" t="s">
        <v>24</v>
      </c>
      <c r="F248">
        <v>288.25</v>
      </c>
      <c r="G248">
        <v>6</v>
      </c>
      <c r="H248">
        <v>109.73</v>
      </c>
      <c r="I248">
        <f>YEAR(SalesData[[#This Row],[Order Date]])</f>
        <v>2022</v>
      </c>
    </row>
    <row r="249" spans="1:9" x14ac:dyDescent="0.25">
      <c r="A249" t="s">
        <v>271</v>
      </c>
      <c r="B249" s="1">
        <v>44700</v>
      </c>
      <c r="C249" t="s">
        <v>16</v>
      </c>
      <c r="D249" t="s">
        <v>10</v>
      </c>
      <c r="E249" t="s">
        <v>24</v>
      </c>
      <c r="F249">
        <v>787.26</v>
      </c>
      <c r="G249">
        <v>5</v>
      </c>
      <c r="H249">
        <v>206.41</v>
      </c>
      <c r="I249">
        <f>YEAR(SalesData[[#This Row],[Order Date]])</f>
        <v>2022</v>
      </c>
    </row>
    <row r="250" spans="1:9" x14ac:dyDescent="0.25">
      <c r="A250" t="s">
        <v>272</v>
      </c>
      <c r="B250" s="1">
        <v>44919</v>
      </c>
      <c r="C250" t="s">
        <v>13</v>
      </c>
      <c r="D250" t="s">
        <v>10</v>
      </c>
      <c r="E250" t="s">
        <v>14</v>
      </c>
      <c r="F250">
        <v>681.48</v>
      </c>
      <c r="G250">
        <v>5</v>
      </c>
      <c r="H250">
        <v>-81.77</v>
      </c>
      <c r="I250">
        <f>YEAR(SalesData[[#This Row],[Order Date]])</f>
        <v>2022</v>
      </c>
    </row>
    <row r="251" spans="1:9" x14ac:dyDescent="0.25">
      <c r="A251" t="s">
        <v>273</v>
      </c>
      <c r="B251" s="1">
        <v>45094</v>
      </c>
      <c r="C251" t="s">
        <v>13</v>
      </c>
      <c r="D251" t="s">
        <v>10</v>
      </c>
      <c r="E251" t="s">
        <v>14</v>
      </c>
      <c r="F251">
        <v>419.42</v>
      </c>
      <c r="G251">
        <v>8</v>
      </c>
      <c r="H251">
        <v>275.99</v>
      </c>
      <c r="I251">
        <f>YEAR(SalesData[[#This Row],[Order Date]])</f>
        <v>2023</v>
      </c>
    </row>
    <row r="252" spans="1:9" x14ac:dyDescent="0.25">
      <c r="A252" t="s">
        <v>274</v>
      </c>
      <c r="B252" s="1">
        <v>45116</v>
      </c>
      <c r="C252" t="s">
        <v>16</v>
      </c>
      <c r="D252" t="s">
        <v>10</v>
      </c>
      <c r="E252" t="s">
        <v>24</v>
      </c>
      <c r="F252">
        <v>870.4</v>
      </c>
      <c r="G252">
        <v>2</v>
      </c>
      <c r="H252">
        <v>80.84</v>
      </c>
      <c r="I252">
        <f>YEAR(SalesData[[#This Row],[Order Date]])</f>
        <v>2023</v>
      </c>
    </row>
    <row r="253" spans="1:9" x14ac:dyDescent="0.25">
      <c r="A253" t="s">
        <v>275</v>
      </c>
      <c r="B253" s="1">
        <v>44829</v>
      </c>
      <c r="C253" t="s">
        <v>16</v>
      </c>
      <c r="D253" t="s">
        <v>10</v>
      </c>
      <c r="E253" t="s">
        <v>14</v>
      </c>
      <c r="F253">
        <v>794.39</v>
      </c>
      <c r="G253">
        <v>5</v>
      </c>
      <c r="H253">
        <v>112.83</v>
      </c>
      <c r="I253">
        <f>YEAR(SalesData[[#This Row],[Order Date]])</f>
        <v>2022</v>
      </c>
    </row>
    <row r="254" spans="1:9" x14ac:dyDescent="0.25">
      <c r="A254" t="s">
        <v>276</v>
      </c>
      <c r="B254" s="1">
        <v>45141</v>
      </c>
      <c r="C254" t="s">
        <v>16</v>
      </c>
      <c r="D254" t="s">
        <v>17</v>
      </c>
      <c r="E254" t="s">
        <v>27</v>
      </c>
      <c r="F254">
        <v>544.98</v>
      </c>
      <c r="G254">
        <v>6</v>
      </c>
      <c r="H254">
        <v>208.85</v>
      </c>
      <c r="I254">
        <f>YEAR(SalesData[[#This Row],[Order Date]])</f>
        <v>2023</v>
      </c>
    </row>
    <row r="255" spans="1:9" x14ac:dyDescent="0.25">
      <c r="A255" t="s">
        <v>277</v>
      </c>
      <c r="B255" s="1">
        <v>44819</v>
      </c>
      <c r="C255" t="s">
        <v>9</v>
      </c>
      <c r="D255" t="s">
        <v>17</v>
      </c>
      <c r="E255" t="s">
        <v>18</v>
      </c>
      <c r="F255">
        <v>59.88</v>
      </c>
      <c r="G255">
        <v>9</v>
      </c>
      <c r="H255">
        <v>-62.28</v>
      </c>
      <c r="I255">
        <f>YEAR(SalesData[[#This Row],[Order Date]])</f>
        <v>2022</v>
      </c>
    </row>
    <row r="256" spans="1:9" x14ac:dyDescent="0.25">
      <c r="A256" t="s">
        <v>278</v>
      </c>
      <c r="B256" s="1">
        <v>45290</v>
      </c>
      <c r="C256" t="s">
        <v>20</v>
      </c>
      <c r="D256" t="s">
        <v>29</v>
      </c>
      <c r="E256" t="s">
        <v>40</v>
      </c>
      <c r="F256">
        <v>648.34</v>
      </c>
      <c r="G256">
        <v>1</v>
      </c>
      <c r="H256">
        <v>-122.42</v>
      </c>
      <c r="I256">
        <f>YEAR(SalesData[[#This Row],[Order Date]])</f>
        <v>2023</v>
      </c>
    </row>
    <row r="257" spans="1:9" x14ac:dyDescent="0.25">
      <c r="A257" t="s">
        <v>279</v>
      </c>
      <c r="B257" s="1">
        <v>45213</v>
      </c>
      <c r="C257" t="s">
        <v>16</v>
      </c>
      <c r="D257" t="s">
        <v>29</v>
      </c>
      <c r="E257" t="s">
        <v>40</v>
      </c>
      <c r="F257">
        <v>596.5</v>
      </c>
      <c r="G257">
        <v>8</v>
      </c>
      <c r="H257">
        <v>141.41999999999999</v>
      </c>
      <c r="I257">
        <f>YEAR(SalesData[[#This Row],[Order Date]])</f>
        <v>2023</v>
      </c>
    </row>
    <row r="258" spans="1:9" x14ac:dyDescent="0.25">
      <c r="A258" t="s">
        <v>280</v>
      </c>
      <c r="B258" s="1">
        <v>44829</v>
      </c>
      <c r="C258" t="s">
        <v>13</v>
      </c>
      <c r="D258" t="s">
        <v>17</v>
      </c>
      <c r="E258" t="s">
        <v>27</v>
      </c>
      <c r="F258">
        <v>568.53</v>
      </c>
      <c r="G258">
        <v>1</v>
      </c>
      <c r="H258">
        <v>-63.07</v>
      </c>
      <c r="I258">
        <f>YEAR(SalesData[[#This Row],[Order Date]])</f>
        <v>2022</v>
      </c>
    </row>
    <row r="259" spans="1:9" x14ac:dyDescent="0.25">
      <c r="A259" t="s">
        <v>281</v>
      </c>
      <c r="B259" s="1">
        <v>44745</v>
      </c>
      <c r="C259" t="s">
        <v>9</v>
      </c>
      <c r="D259" t="s">
        <v>10</v>
      </c>
      <c r="E259" t="s">
        <v>24</v>
      </c>
      <c r="F259">
        <v>368.48</v>
      </c>
      <c r="G259">
        <v>4</v>
      </c>
      <c r="H259">
        <v>43.26</v>
      </c>
      <c r="I259">
        <f>YEAR(SalesData[[#This Row],[Order Date]])</f>
        <v>2022</v>
      </c>
    </row>
    <row r="260" spans="1:9" x14ac:dyDescent="0.25">
      <c r="A260" t="s">
        <v>282</v>
      </c>
      <c r="B260" s="1">
        <v>45162</v>
      </c>
      <c r="C260" t="s">
        <v>13</v>
      </c>
      <c r="D260" t="s">
        <v>29</v>
      </c>
      <c r="E260" t="s">
        <v>50</v>
      </c>
      <c r="F260">
        <v>391.91</v>
      </c>
      <c r="G260">
        <v>4</v>
      </c>
      <c r="H260">
        <v>-43.94</v>
      </c>
      <c r="I260">
        <f>YEAR(SalesData[[#This Row],[Order Date]])</f>
        <v>2023</v>
      </c>
    </row>
    <row r="261" spans="1:9" x14ac:dyDescent="0.25">
      <c r="A261" t="s">
        <v>283</v>
      </c>
      <c r="B261" s="1">
        <v>45182</v>
      </c>
      <c r="C261" t="s">
        <v>13</v>
      </c>
      <c r="D261" t="s">
        <v>17</v>
      </c>
      <c r="E261" t="s">
        <v>62</v>
      </c>
      <c r="F261">
        <v>648.76</v>
      </c>
      <c r="G261">
        <v>2</v>
      </c>
      <c r="H261">
        <v>19.03</v>
      </c>
      <c r="I261">
        <f>YEAR(SalesData[[#This Row],[Order Date]])</f>
        <v>2023</v>
      </c>
    </row>
    <row r="262" spans="1:9" x14ac:dyDescent="0.25">
      <c r="A262" t="s">
        <v>284</v>
      </c>
      <c r="B262" s="1">
        <v>45209</v>
      </c>
      <c r="C262" t="s">
        <v>16</v>
      </c>
      <c r="D262" t="s">
        <v>29</v>
      </c>
      <c r="E262" t="s">
        <v>50</v>
      </c>
      <c r="F262">
        <v>495.72</v>
      </c>
      <c r="G262">
        <v>9</v>
      </c>
      <c r="H262">
        <v>215.4</v>
      </c>
      <c r="I262">
        <f>YEAR(SalesData[[#This Row],[Order Date]])</f>
        <v>2023</v>
      </c>
    </row>
    <row r="263" spans="1:9" x14ac:dyDescent="0.25">
      <c r="A263" t="s">
        <v>285</v>
      </c>
      <c r="B263" s="1">
        <v>45199</v>
      </c>
      <c r="C263" t="s">
        <v>20</v>
      </c>
      <c r="D263" t="s">
        <v>29</v>
      </c>
      <c r="E263" t="s">
        <v>30</v>
      </c>
      <c r="F263">
        <v>333.06</v>
      </c>
      <c r="G263">
        <v>10</v>
      </c>
      <c r="H263">
        <v>-181.3</v>
      </c>
      <c r="I263">
        <f>YEAR(SalesData[[#This Row],[Order Date]])</f>
        <v>2023</v>
      </c>
    </row>
    <row r="264" spans="1:9" x14ac:dyDescent="0.25">
      <c r="A264" t="s">
        <v>286</v>
      </c>
      <c r="B264" s="1">
        <v>45106</v>
      </c>
      <c r="C264" t="s">
        <v>13</v>
      </c>
      <c r="D264" t="s">
        <v>17</v>
      </c>
      <c r="E264" t="s">
        <v>62</v>
      </c>
      <c r="F264">
        <v>616.21</v>
      </c>
      <c r="G264">
        <v>1</v>
      </c>
      <c r="H264">
        <v>66.319999999999993</v>
      </c>
      <c r="I264">
        <f>YEAR(SalesData[[#This Row],[Order Date]])</f>
        <v>2023</v>
      </c>
    </row>
    <row r="265" spans="1:9" x14ac:dyDescent="0.25">
      <c r="A265" t="s">
        <v>287</v>
      </c>
      <c r="B265" s="1">
        <v>45238</v>
      </c>
      <c r="C265" t="s">
        <v>13</v>
      </c>
      <c r="D265" t="s">
        <v>29</v>
      </c>
      <c r="E265" t="s">
        <v>40</v>
      </c>
      <c r="F265">
        <v>533.65</v>
      </c>
      <c r="G265">
        <v>1</v>
      </c>
      <c r="H265">
        <v>293.54000000000002</v>
      </c>
      <c r="I265">
        <f>YEAR(SalesData[[#This Row],[Order Date]])</f>
        <v>2023</v>
      </c>
    </row>
    <row r="266" spans="1:9" x14ac:dyDescent="0.25">
      <c r="A266" t="s">
        <v>288</v>
      </c>
      <c r="B266" s="1">
        <v>45105</v>
      </c>
      <c r="C266" t="s">
        <v>13</v>
      </c>
      <c r="D266" t="s">
        <v>17</v>
      </c>
      <c r="E266" t="s">
        <v>62</v>
      </c>
      <c r="F266">
        <v>335.84</v>
      </c>
      <c r="G266">
        <v>3</v>
      </c>
      <c r="H266">
        <v>274.51</v>
      </c>
      <c r="I266">
        <f>YEAR(SalesData[[#This Row],[Order Date]])</f>
        <v>2023</v>
      </c>
    </row>
    <row r="267" spans="1:9" x14ac:dyDescent="0.25">
      <c r="A267" t="s">
        <v>289</v>
      </c>
      <c r="B267" s="1">
        <v>44987</v>
      </c>
      <c r="C267" t="s">
        <v>9</v>
      </c>
      <c r="D267" t="s">
        <v>29</v>
      </c>
      <c r="E267" t="s">
        <v>50</v>
      </c>
      <c r="F267">
        <v>617.24</v>
      </c>
      <c r="G267">
        <v>8</v>
      </c>
      <c r="H267">
        <v>-65.37</v>
      </c>
      <c r="I267">
        <f>YEAR(SalesData[[#This Row],[Order Date]])</f>
        <v>2023</v>
      </c>
    </row>
    <row r="268" spans="1:9" x14ac:dyDescent="0.25">
      <c r="A268" t="s">
        <v>290</v>
      </c>
      <c r="B268" s="1">
        <v>44919</v>
      </c>
      <c r="C268" t="s">
        <v>13</v>
      </c>
      <c r="D268" t="s">
        <v>17</v>
      </c>
      <c r="E268" t="s">
        <v>18</v>
      </c>
      <c r="F268">
        <v>376.44</v>
      </c>
      <c r="G268">
        <v>3</v>
      </c>
      <c r="H268">
        <v>-11.32</v>
      </c>
      <c r="I268">
        <f>YEAR(SalesData[[#This Row],[Order Date]])</f>
        <v>2022</v>
      </c>
    </row>
    <row r="269" spans="1:9" x14ac:dyDescent="0.25">
      <c r="A269" t="s">
        <v>291</v>
      </c>
      <c r="B269" s="1">
        <v>44792</v>
      </c>
      <c r="C269" t="s">
        <v>20</v>
      </c>
      <c r="D269" t="s">
        <v>10</v>
      </c>
      <c r="E269" t="s">
        <v>11</v>
      </c>
      <c r="F269">
        <v>625.51</v>
      </c>
      <c r="G269">
        <v>8</v>
      </c>
      <c r="H269">
        <v>57.8</v>
      </c>
      <c r="I269">
        <f>YEAR(SalesData[[#This Row],[Order Date]])</f>
        <v>2022</v>
      </c>
    </row>
    <row r="270" spans="1:9" x14ac:dyDescent="0.25">
      <c r="A270" t="s">
        <v>292</v>
      </c>
      <c r="B270" s="1">
        <v>45220</v>
      </c>
      <c r="C270" t="s">
        <v>20</v>
      </c>
      <c r="D270" t="s">
        <v>10</v>
      </c>
      <c r="E270" t="s">
        <v>14</v>
      </c>
      <c r="F270">
        <v>264.58999999999997</v>
      </c>
      <c r="G270">
        <v>10</v>
      </c>
      <c r="H270">
        <v>127.51</v>
      </c>
      <c r="I270">
        <f>YEAR(SalesData[[#This Row],[Order Date]])</f>
        <v>2023</v>
      </c>
    </row>
    <row r="271" spans="1:9" x14ac:dyDescent="0.25">
      <c r="A271" t="s">
        <v>293</v>
      </c>
      <c r="B271" s="1">
        <v>45061</v>
      </c>
      <c r="C271" t="s">
        <v>16</v>
      </c>
      <c r="D271" t="s">
        <v>29</v>
      </c>
      <c r="E271" t="s">
        <v>50</v>
      </c>
      <c r="F271">
        <v>977.11</v>
      </c>
      <c r="G271">
        <v>5</v>
      </c>
      <c r="H271">
        <v>257.64</v>
      </c>
      <c r="I271">
        <f>YEAR(SalesData[[#This Row],[Order Date]])</f>
        <v>2023</v>
      </c>
    </row>
    <row r="272" spans="1:9" x14ac:dyDescent="0.25">
      <c r="A272" t="s">
        <v>294</v>
      </c>
      <c r="B272" s="1">
        <v>45180</v>
      </c>
      <c r="C272" t="s">
        <v>13</v>
      </c>
      <c r="D272" t="s">
        <v>10</v>
      </c>
      <c r="E272" t="s">
        <v>24</v>
      </c>
      <c r="F272">
        <v>405.25</v>
      </c>
      <c r="G272">
        <v>9</v>
      </c>
      <c r="H272">
        <v>-81.52</v>
      </c>
      <c r="I272">
        <f>YEAR(SalesData[[#This Row],[Order Date]])</f>
        <v>2023</v>
      </c>
    </row>
    <row r="273" spans="1:9" x14ac:dyDescent="0.25">
      <c r="A273" t="s">
        <v>295</v>
      </c>
      <c r="B273" s="1">
        <v>44856</v>
      </c>
      <c r="C273" t="s">
        <v>13</v>
      </c>
      <c r="D273" t="s">
        <v>17</v>
      </c>
      <c r="E273" t="s">
        <v>18</v>
      </c>
      <c r="F273">
        <v>121.6</v>
      </c>
      <c r="G273">
        <v>3</v>
      </c>
      <c r="H273">
        <v>247.53</v>
      </c>
      <c r="I273">
        <f>YEAR(SalesData[[#This Row],[Order Date]])</f>
        <v>2022</v>
      </c>
    </row>
    <row r="274" spans="1:9" x14ac:dyDescent="0.25">
      <c r="A274" t="s">
        <v>296</v>
      </c>
      <c r="B274" s="1">
        <v>45090</v>
      </c>
      <c r="C274" t="s">
        <v>16</v>
      </c>
      <c r="D274" t="s">
        <v>17</v>
      </c>
      <c r="E274" t="s">
        <v>27</v>
      </c>
      <c r="F274">
        <v>571.51</v>
      </c>
      <c r="G274">
        <v>5</v>
      </c>
      <c r="H274">
        <v>263.27</v>
      </c>
      <c r="I274">
        <f>YEAR(SalesData[[#This Row],[Order Date]])</f>
        <v>2023</v>
      </c>
    </row>
    <row r="275" spans="1:9" x14ac:dyDescent="0.25">
      <c r="A275" t="s">
        <v>297</v>
      </c>
      <c r="B275" s="1">
        <v>44696</v>
      </c>
      <c r="C275" t="s">
        <v>20</v>
      </c>
      <c r="D275" t="s">
        <v>29</v>
      </c>
      <c r="E275" t="s">
        <v>30</v>
      </c>
      <c r="F275">
        <v>574.95000000000005</v>
      </c>
      <c r="G275">
        <v>3</v>
      </c>
      <c r="H275">
        <v>-30.22</v>
      </c>
      <c r="I275">
        <f>YEAR(SalesData[[#This Row],[Order Date]])</f>
        <v>2022</v>
      </c>
    </row>
    <row r="276" spans="1:9" x14ac:dyDescent="0.25">
      <c r="A276" t="s">
        <v>298</v>
      </c>
      <c r="B276" s="1">
        <v>44837</v>
      </c>
      <c r="C276" t="s">
        <v>9</v>
      </c>
      <c r="D276" t="s">
        <v>17</v>
      </c>
      <c r="E276" t="s">
        <v>27</v>
      </c>
      <c r="F276">
        <v>374.62</v>
      </c>
      <c r="G276">
        <v>9</v>
      </c>
      <c r="H276">
        <v>17.37</v>
      </c>
      <c r="I276">
        <f>YEAR(SalesData[[#This Row],[Order Date]])</f>
        <v>2022</v>
      </c>
    </row>
    <row r="277" spans="1:9" x14ac:dyDescent="0.25">
      <c r="A277" t="s">
        <v>299</v>
      </c>
      <c r="B277" s="1">
        <v>44778</v>
      </c>
      <c r="C277" t="s">
        <v>13</v>
      </c>
      <c r="D277" t="s">
        <v>10</v>
      </c>
      <c r="E277" t="s">
        <v>14</v>
      </c>
      <c r="F277">
        <v>36.71</v>
      </c>
      <c r="G277">
        <v>2</v>
      </c>
      <c r="H277">
        <v>12.83</v>
      </c>
      <c r="I277">
        <f>YEAR(SalesData[[#This Row],[Order Date]])</f>
        <v>2022</v>
      </c>
    </row>
    <row r="278" spans="1:9" x14ac:dyDescent="0.25">
      <c r="A278" t="s">
        <v>300</v>
      </c>
      <c r="B278" s="1">
        <v>44823</v>
      </c>
      <c r="C278" t="s">
        <v>9</v>
      </c>
      <c r="D278" t="s">
        <v>17</v>
      </c>
      <c r="E278" t="s">
        <v>27</v>
      </c>
      <c r="F278">
        <v>633.37</v>
      </c>
      <c r="G278">
        <v>10</v>
      </c>
      <c r="H278">
        <v>-139.82</v>
      </c>
      <c r="I278">
        <f>YEAR(SalesData[[#This Row],[Order Date]])</f>
        <v>2022</v>
      </c>
    </row>
    <row r="279" spans="1:9" x14ac:dyDescent="0.25">
      <c r="A279" t="s">
        <v>301</v>
      </c>
      <c r="B279" s="1">
        <v>45084</v>
      </c>
      <c r="C279" t="s">
        <v>13</v>
      </c>
      <c r="D279" t="s">
        <v>29</v>
      </c>
      <c r="E279" t="s">
        <v>30</v>
      </c>
      <c r="F279">
        <v>979.11</v>
      </c>
      <c r="G279">
        <v>5</v>
      </c>
      <c r="H279">
        <v>-122.94</v>
      </c>
      <c r="I279">
        <f>YEAR(SalesData[[#This Row],[Order Date]])</f>
        <v>2023</v>
      </c>
    </row>
    <row r="280" spans="1:9" x14ac:dyDescent="0.25">
      <c r="A280" t="s">
        <v>302</v>
      </c>
      <c r="B280" s="1">
        <v>44943</v>
      </c>
      <c r="C280" t="s">
        <v>13</v>
      </c>
      <c r="D280" t="s">
        <v>17</v>
      </c>
      <c r="E280" t="s">
        <v>27</v>
      </c>
      <c r="F280">
        <v>112.57</v>
      </c>
      <c r="G280">
        <v>2</v>
      </c>
      <c r="H280">
        <v>8.0399999999999991</v>
      </c>
      <c r="I280">
        <f>YEAR(SalesData[[#This Row],[Order Date]])</f>
        <v>2023</v>
      </c>
    </row>
    <row r="281" spans="1:9" x14ac:dyDescent="0.25">
      <c r="A281" t="s">
        <v>303</v>
      </c>
      <c r="B281" s="1">
        <v>45257</v>
      </c>
      <c r="C281" t="s">
        <v>13</v>
      </c>
      <c r="D281" t="s">
        <v>10</v>
      </c>
      <c r="E281" t="s">
        <v>24</v>
      </c>
      <c r="F281">
        <v>870.74</v>
      </c>
      <c r="G281">
        <v>9</v>
      </c>
      <c r="H281">
        <v>-70.069999999999993</v>
      </c>
      <c r="I281">
        <f>YEAR(SalesData[[#This Row],[Order Date]])</f>
        <v>2023</v>
      </c>
    </row>
    <row r="282" spans="1:9" x14ac:dyDescent="0.25">
      <c r="A282" t="s">
        <v>304</v>
      </c>
      <c r="B282" s="1">
        <v>44813</v>
      </c>
      <c r="C282" t="s">
        <v>20</v>
      </c>
      <c r="D282" t="s">
        <v>29</v>
      </c>
      <c r="E282" t="s">
        <v>30</v>
      </c>
      <c r="F282">
        <v>328.1</v>
      </c>
      <c r="G282">
        <v>5</v>
      </c>
      <c r="H282">
        <v>86.75</v>
      </c>
      <c r="I282">
        <f>YEAR(SalesData[[#This Row],[Order Date]])</f>
        <v>2022</v>
      </c>
    </row>
    <row r="283" spans="1:9" x14ac:dyDescent="0.25">
      <c r="A283" t="s">
        <v>305</v>
      </c>
      <c r="B283" s="1">
        <v>45022</v>
      </c>
      <c r="C283" t="s">
        <v>9</v>
      </c>
      <c r="D283" t="s">
        <v>29</v>
      </c>
      <c r="E283" t="s">
        <v>30</v>
      </c>
      <c r="F283">
        <v>900.93</v>
      </c>
      <c r="G283">
        <v>6</v>
      </c>
      <c r="H283">
        <v>45.55</v>
      </c>
      <c r="I283">
        <f>YEAR(SalesData[[#This Row],[Order Date]])</f>
        <v>2023</v>
      </c>
    </row>
    <row r="284" spans="1:9" x14ac:dyDescent="0.25">
      <c r="A284" t="s">
        <v>306</v>
      </c>
      <c r="B284" s="1">
        <v>45137</v>
      </c>
      <c r="C284" t="s">
        <v>16</v>
      </c>
      <c r="D284" t="s">
        <v>10</v>
      </c>
      <c r="E284" t="s">
        <v>11</v>
      </c>
      <c r="F284">
        <v>497.64</v>
      </c>
      <c r="G284">
        <v>3</v>
      </c>
      <c r="H284">
        <v>186.62</v>
      </c>
      <c r="I284">
        <f>YEAR(SalesData[[#This Row],[Order Date]])</f>
        <v>2023</v>
      </c>
    </row>
    <row r="285" spans="1:9" x14ac:dyDescent="0.25">
      <c r="A285" t="s">
        <v>307</v>
      </c>
      <c r="B285" s="1">
        <v>44949</v>
      </c>
      <c r="C285" t="s">
        <v>13</v>
      </c>
      <c r="D285" t="s">
        <v>17</v>
      </c>
      <c r="E285" t="s">
        <v>27</v>
      </c>
      <c r="F285">
        <v>923.74</v>
      </c>
      <c r="G285">
        <v>5</v>
      </c>
      <c r="H285">
        <v>-34.39</v>
      </c>
      <c r="I285">
        <f>YEAR(SalesData[[#This Row],[Order Date]])</f>
        <v>2023</v>
      </c>
    </row>
    <row r="286" spans="1:9" x14ac:dyDescent="0.25">
      <c r="A286" t="s">
        <v>308</v>
      </c>
      <c r="B286" s="1">
        <v>44923</v>
      </c>
      <c r="C286" t="s">
        <v>13</v>
      </c>
      <c r="D286" t="s">
        <v>17</v>
      </c>
      <c r="E286" t="s">
        <v>27</v>
      </c>
      <c r="F286">
        <v>840.54</v>
      </c>
      <c r="G286">
        <v>2</v>
      </c>
      <c r="H286">
        <v>-39.94</v>
      </c>
      <c r="I286">
        <f>YEAR(SalesData[[#This Row],[Order Date]])</f>
        <v>2022</v>
      </c>
    </row>
    <row r="287" spans="1:9" x14ac:dyDescent="0.25">
      <c r="A287" t="s">
        <v>309</v>
      </c>
      <c r="B287" s="1">
        <v>45292</v>
      </c>
      <c r="C287" t="s">
        <v>9</v>
      </c>
      <c r="D287" t="s">
        <v>10</v>
      </c>
      <c r="E287" t="s">
        <v>24</v>
      </c>
      <c r="F287">
        <v>135.34</v>
      </c>
      <c r="G287">
        <v>3</v>
      </c>
      <c r="H287">
        <v>-115.75</v>
      </c>
      <c r="I287">
        <f>YEAR(SalesData[[#This Row],[Order Date]])</f>
        <v>2024</v>
      </c>
    </row>
    <row r="288" spans="1:9" x14ac:dyDescent="0.25">
      <c r="A288" t="s">
        <v>310</v>
      </c>
      <c r="B288" s="1">
        <v>44785</v>
      </c>
      <c r="C288" t="s">
        <v>20</v>
      </c>
      <c r="D288" t="s">
        <v>10</v>
      </c>
      <c r="E288" t="s">
        <v>24</v>
      </c>
      <c r="F288">
        <v>817.89</v>
      </c>
      <c r="G288">
        <v>5</v>
      </c>
      <c r="H288">
        <v>-173.06</v>
      </c>
      <c r="I288">
        <f>YEAR(SalesData[[#This Row],[Order Date]])</f>
        <v>2022</v>
      </c>
    </row>
    <row r="289" spans="1:9" x14ac:dyDescent="0.25">
      <c r="A289" t="s">
        <v>311</v>
      </c>
      <c r="B289" s="1">
        <v>45098</v>
      </c>
      <c r="C289" t="s">
        <v>20</v>
      </c>
      <c r="D289" t="s">
        <v>29</v>
      </c>
      <c r="E289" t="s">
        <v>50</v>
      </c>
      <c r="F289">
        <v>396.95</v>
      </c>
      <c r="G289">
        <v>10</v>
      </c>
      <c r="H289">
        <v>26.95</v>
      </c>
      <c r="I289">
        <f>YEAR(SalesData[[#This Row],[Order Date]])</f>
        <v>2023</v>
      </c>
    </row>
    <row r="290" spans="1:9" x14ac:dyDescent="0.25">
      <c r="A290" t="s">
        <v>312</v>
      </c>
      <c r="B290" s="1">
        <v>45054</v>
      </c>
      <c r="C290" t="s">
        <v>16</v>
      </c>
      <c r="D290" t="s">
        <v>17</v>
      </c>
      <c r="E290" t="s">
        <v>27</v>
      </c>
      <c r="F290">
        <v>751.02</v>
      </c>
      <c r="G290">
        <v>8</v>
      </c>
      <c r="H290">
        <v>220.21</v>
      </c>
      <c r="I290">
        <f>YEAR(SalesData[[#This Row],[Order Date]])</f>
        <v>2023</v>
      </c>
    </row>
    <row r="291" spans="1:9" x14ac:dyDescent="0.25">
      <c r="A291" t="s">
        <v>313</v>
      </c>
      <c r="B291" s="1">
        <v>44589</v>
      </c>
      <c r="C291" t="s">
        <v>13</v>
      </c>
      <c r="D291" t="s">
        <v>10</v>
      </c>
      <c r="E291" t="s">
        <v>14</v>
      </c>
      <c r="F291">
        <v>492.45</v>
      </c>
      <c r="G291">
        <v>9</v>
      </c>
      <c r="H291">
        <v>-32.25</v>
      </c>
      <c r="I291">
        <f>YEAR(SalesData[[#This Row],[Order Date]])</f>
        <v>2022</v>
      </c>
    </row>
    <row r="292" spans="1:9" x14ac:dyDescent="0.25">
      <c r="A292" t="s">
        <v>314</v>
      </c>
      <c r="B292" s="1">
        <v>44754</v>
      </c>
      <c r="C292" t="s">
        <v>13</v>
      </c>
      <c r="D292" t="s">
        <v>10</v>
      </c>
      <c r="E292" t="s">
        <v>24</v>
      </c>
      <c r="F292">
        <v>851.84</v>
      </c>
      <c r="G292">
        <v>3</v>
      </c>
      <c r="H292">
        <v>196.25</v>
      </c>
      <c r="I292">
        <f>YEAR(SalesData[[#This Row],[Order Date]])</f>
        <v>2022</v>
      </c>
    </row>
    <row r="293" spans="1:9" x14ac:dyDescent="0.25">
      <c r="A293" t="s">
        <v>315</v>
      </c>
      <c r="B293" s="1">
        <v>44588</v>
      </c>
      <c r="C293" t="s">
        <v>13</v>
      </c>
      <c r="D293" t="s">
        <v>17</v>
      </c>
      <c r="E293" t="s">
        <v>27</v>
      </c>
      <c r="F293">
        <v>482.34</v>
      </c>
      <c r="G293">
        <v>1</v>
      </c>
      <c r="H293">
        <v>120.03</v>
      </c>
      <c r="I293">
        <f>YEAR(SalesData[[#This Row],[Order Date]])</f>
        <v>2022</v>
      </c>
    </row>
    <row r="294" spans="1:9" x14ac:dyDescent="0.25">
      <c r="A294" t="s">
        <v>316</v>
      </c>
      <c r="B294" s="1">
        <v>44658</v>
      </c>
      <c r="C294" t="s">
        <v>20</v>
      </c>
      <c r="D294" t="s">
        <v>10</v>
      </c>
      <c r="E294" t="s">
        <v>11</v>
      </c>
      <c r="F294">
        <v>85.65</v>
      </c>
      <c r="G294">
        <v>1</v>
      </c>
      <c r="H294">
        <v>-50.06</v>
      </c>
      <c r="I294">
        <f>YEAR(SalesData[[#This Row],[Order Date]])</f>
        <v>2022</v>
      </c>
    </row>
    <row r="295" spans="1:9" x14ac:dyDescent="0.25">
      <c r="A295" t="s">
        <v>317</v>
      </c>
      <c r="B295" s="1">
        <v>44899</v>
      </c>
      <c r="C295" t="s">
        <v>9</v>
      </c>
      <c r="D295" t="s">
        <v>10</v>
      </c>
      <c r="E295" t="s">
        <v>24</v>
      </c>
      <c r="F295">
        <v>734.81</v>
      </c>
      <c r="G295">
        <v>3</v>
      </c>
      <c r="H295">
        <v>71.58</v>
      </c>
      <c r="I295">
        <f>YEAR(SalesData[[#This Row],[Order Date]])</f>
        <v>2022</v>
      </c>
    </row>
    <row r="296" spans="1:9" x14ac:dyDescent="0.25">
      <c r="A296" t="s">
        <v>318</v>
      </c>
      <c r="B296" s="1">
        <v>44582</v>
      </c>
      <c r="C296" t="s">
        <v>9</v>
      </c>
      <c r="D296" t="s">
        <v>17</v>
      </c>
      <c r="E296" t="s">
        <v>27</v>
      </c>
      <c r="F296">
        <v>505.7</v>
      </c>
      <c r="G296">
        <v>10</v>
      </c>
      <c r="H296">
        <v>181.37</v>
      </c>
      <c r="I296">
        <f>YEAR(SalesData[[#This Row],[Order Date]])</f>
        <v>2022</v>
      </c>
    </row>
    <row r="297" spans="1:9" x14ac:dyDescent="0.25">
      <c r="A297" t="s">
        <v>319</v>
      </c>
      <c r="B297" s="1">
        <v>44790</v>
      </c>
      <c r="C297" t="s">
        <v>9</v>
      </c>
      <c r="D297" t="s">
        <v>29</v>
      </c>
      <c r="E297" t="s">
        <v>40</v>
      </c>
      <c r="F297">
        <v>91.76</v>
      </c>
      <c r="G297">
        <v>3</v>
      </c>
      <c r="H297">
        <v>-64.599999999999994</v>
      </c>
      <c r="I297">
        <f>YEAR(SalesData[[#This Row],[Order Date]])</f>
        <v>2022</v>
      </c>
    </row>
    <row r="298" spans="1:9" x14ac:dyDescent="0.25">
      <c r="A298" t="s">
        <v>320</v>
      </c>
      <c r="B298" s="1">
        <v>45083</v>
      </c>
      <c r="C298" t="s">
        <v>13</v>
      </c>
      <c r="D298" t="s">
        <v>10</v>
      </c>
      <c r="E298" t="s">
        <v>11</v>
      </c>
      <c r="F298">
        <v>903.6</v>
      </c>
      <c r="G298">
        <v>8</v>
      </c>
      <c r="H298">
        <v>158.56</v>
      </c>
      <c r="I298">
        <f>YEAR(SalesData[[#This Row],[Order Date]])</f>
        <v>2023</v>
      </c>
    </row>
    <row r="299" spans="1:9" x14ac:dyDescent="0.25">
      <c r="A299" t="s">
        <v>321</v>
      </c>
      <c r="B299" s="1">
        <v>44898</v>
      </c>
      <c r="C299" t="s">
        <v>20</v>
      </c>
      <c r="D299" t="s">
        <v>10</v>
      </c>
      <c r="E299" t="s">
        <v>14</v>
      </c>
      <c r="F299">
        <v>948.39</v>
      </c>
      <c r="G299">
        <v>10</v>
      </c>
      <c r="H299">
        <v>298.08999999999997</v>
      </c>
      <c r="I299">
        <f>YEAR(SalesData[[#This Row],[Order Date]])</f>
        <v>2022</v>
      </c>
    </row>
    <row r="300" spans="1:9" x14ac:dyDescent="0.25">
      <c r="A300" t="s">
        <v>322</v>
      </c>
      <c r="B300" s="1">
        <v>44700</v>
      </c>
      <c r="C300" t="s">
        <v>16</v>
      </c>
      <c r="D300" t="s">
        <v>17</v>
      </c>
      <c r="E300" t="s">
        <v>27</v>
      </c>
      <c r="F300">
        <v>992.68</v>
      </c>
      <c r="G300">
        <v>10</v>
      </c>
      <c r="H300">
        <v>257.20999999999998</v>
      </c>
      <c r="I300">
        <f>YEAR(SalesData[[#This Row],[Order Date]])</f>
        <v>2022</v>
      </c>
    </row>
    <row r="301" spans="1:9" x14ac:dyDescent="0.25">
      <c r="A301" t="s">
        <v>323</v>
      </c>
      <c r="B301" s="1">
        <v>44950</v>
      </c>
      <c r="C301" t="s">
        <v>16</v>
      </c>
      <c r="D301" t="s">
        <v>29</v>
      </c>
      <c r="E301" t="s">
        <v>30</v>
      </c>
      <c r="F301">
        <v>568.9</v>
      </c>
      <c r="G301">
        <v>8</v>
      </c>
      <c r="H301">
        <v>124.92</v>
      </c>
      <c r="I301">
        <f>YEAR(SalesData[[#This Row],[Order Date]])</f>
        <v>2023</v>
      </c>
    </row>
    <row r="302" spans="1:9" x14ac:dyDescent="0.25">
      <c r="A302" t="s">
        <v>324</v>
      </c>
      <c r="B302" s="1">
        <v>45015</v>
      </c>
      <c r="C302" t="s">
        <v>20</v>
      </c>
      <c r="D302" t="s">
        <v>29</v>
      </c>
      <c r="E302" t="s">
        <v>50</v>
      </c>
      <c r="F302">
        <v>573.11</v>
      </c>
      <c r="G302">
        <v>1</v>
      </c>
      <c r="H302">
        <v>38.43</v>
      </c>
      <c r="I302">
        <f>YEAR(SalesData[[#This Row],[Order Date]])</f>
        <v>2023</v>
      </c>
    </row>
    <row r="303" spans="1:9" x14ac:dyDescent="0.25">
      <c r="A303" t="s">
        <v>325</v>
      </c>
      <c r="B303" s="1">
        <v>44700</v>
      </c>
      <c r="C303" t="s">
        <v>13</v>
      </c>
      <c r="D303" t="s">
        <v>29</v>
      </c>
      <c r="E303" t="s">
        <v>30</v>
      </c>
      <c r="F303">
        <v>442.37</v>
      </c>
      <c r="G303">
        <v>8</v>
      </c>
      <c r="H303">
        <v>208.97</v>
      </c>
      <c r="I303">
        <f>YEAR(SalesData[[#This Row],[Order Date]])</f>
        <v>2022</v>
      </c>
    </row>
    <row r="304" spans="1:9" x14ac:dyDescent="0.25">
      <c r="A304" t="s">
        <v>326</v>
      </c>
      <c r="B304" s="1">
        <v>44892</v>
      </c>
      <c r="C304" t="s">
        <v>9</v>
      </c>
      <c r="D304" t="s">
        <v>29</v>
      </c>
      <c r="E304" t="s">
        <v>50</v>
      </c>
      <c r="F304">
        <v>615.4</v>
      </c>
      <c r="G304">
        <v>5</v>
      </c>
      <c r="H304">
        <v>287.49</v>
      </c>
      <c r="I304">
        <f>YEAR(SalesData[[#This Row],[Order Date]])</f>
        <v>2022</v>
      </c>
    </row>
    <row r="305" spans="1:9" x14ac:dyDescent="0.25">
      <c r="A305" t="s">
        <v>327</v>
      </c>
      <c r="B305" s="1">
        <v>44825</v>
      </c>
      <c r="C305" t="s">
        <v>9</v>
      </c>
      <c r="D305" t="s">
        <v>10</v>
      </c>
      <c r="E305" t="s">
        <v>14</v>
      </c>
      <c r="F305">
        <v>345.82</v>
      </c>
      <c r="G305">
        <v>5</v>
      </c>
      <c r="H305">
        <v>172.91</v>
      </c>
      <c r="I305">
        <f>YEAR(SalesData[[#This Row],[Order Date]])</f>
        <v>2022</v>
      </c>
    </row>
    <row r="306" spans="1:9" x14ac:dyDescent="0.25">
      <c r="A306" t="s">
        <v>328</v>
      </c>
      <c r="B306" s="1">
        <v>44594</v>
      </c>
      <c r="C306" t="s">
        <v>13</v>
      </c>
      <c r="D306" t="s">
        <v>17</v>
      </c>
      <c r="E306" t="s">
        <v>27</v>
      </c>
      <c r="F306">
        <v>545.04999999999995</v>
      </c>
      <c r="G306">
        <v>4</v>
      </c>
      <c r="H306">
        <v>-163.22</v>
      </c>
      <c r="I306">
        <f>YEAR(SalesData[[#This Row],[Order Date]])</f>
        <v>2022</v>
      </c>
    </row>
    <row r="307" spans="1:9" x14ac:dyDescent="0.25">
      <c r="A307" t="s">
        <v>329</v>
      </c>
      <c r="B307" s="1">
        <v>44816</v>
      </c>
      <c r="C307" t="s">
        <v>20</v>
      </c>
      <c r="D307" t="s">
        <v>10</v>
      </c>
      <c r="E307" t="s">
        <v>14</v>
      </c>
      <c r="F307">
        <v>55.43</v>
      </c>
      <c r="G307">
        <v>3</v>
      </c>
      <c r="H307">
        <v>-149.57</v>
      </c>
      <c r="I307">
        <f>YEAR(SalesData[[#This Row],[Order Date]])</f>
        <v>2022</v>
      </c>
    </row>
    <row r="308" spans="1:9" x14ac:dyDescent="0.25">
      <c r="A308" t="s">
        <v>330</v>
      </c>
      <c r="B308" s="1">
        <v>45180</v>
      </c>
      <c r="C308" t="s">
        <v>9</v>
      </c>
      <c r="D308" t="s">
        <v>17</v>
      </c>
      <c r="E308" t="s">
        <v>62</v>
      </c>
      <c r="F308">
        <v>796.81</v>
      </c>
      <c r="G308">
        <v>10</v>
      </c>
      <c r="H308">
        <v>238.39</v>
      </c>
      <c r="I308">
        <f>YEAR(SalesData[[#This Row],[Order Date]])</f>
        <v>2023</v>
      </c>
    </row>
    <row r="309" spans="1:9" x14ac:dyDescent="0.25">
      <c r="A309" t="s">
        <v>331</v>
      </c>
      <c r="B309" s="1">
        <v>45224</v>
      </c>
      <c r="C309" t="s">
        <v>13</v>
      </c>
      <c r="D309" t="s">
        <v>29</v>
      </c>
      <c r="E309" t="s">
        <v>50</v>
      </c>
      <c r="F309">
        <v>38.729999999999997</v>
      </c>
      <c r="G309">
        <v>6</v>
      </c>
      <c r="H309">
        <v>-83.95</v>
      </c>
      <c r="I309">
        <f>YEAR(SalesData[[#This Row],[Order Date]])</f>
        <v>2023</v>
      </c>
    </row>
    <row r="310" spans="1:9" x14ac:dyDescent="0.25">
      <c r="A310" t="s">
        <v>332</v>
      </c>
      <c r="B310" s="1">
        <v>44644</v>
      </c>
      <c r="C310" t="s">
        <v>20</v>
      </c>
      <c r="D310" t="s">
        <v>10</v>
      </c>
      <c r="E310" t="s">
        <v>24</v>
      </c>
      <c r="F310">
        <v>678.18</v>
      </c>
      <c r="G310">
        <v>1</v>
      </c>
      <c r="H310">
        <v>232.43</v>
      </c>
      <c r="I310">
        <f>YEAR(SalesData[[#This Row],[Order Date]])</f>
        <v>2022</v>
      </c>
    </row>
    <row r="311" spans="1:9" x14ac:dyDescent="0.25">
      <c r="A311" t="s">
        <v>333</v>
      </c>
      <c r="B311" s="1">
        <v>45031</v>
      </c>
      <c r="C311" t="s">
        <v>9</v>
      </c>
      <c r="D311" t="s">
        <v>17</v>
      </c>
      <c r="E311" t="s">
        <v>62</v>
      </c>
      <c r="F311">
        <v>152.91999999999999</v>
      </c>
      <c r="G311">
        <v>3</v>
      </c>
      <c r="H311">
        <v>-141.16999999999999</v>
      </c>
      <c r="I311">
        <f>YEAR(SalesData[[#This Row],[Order Date]])</f>
        <v>2023</v>
      </c>
    </row>
    <row r="312" spans="1:9" x14ac:dyDescent="0.25">
      <c r="A312" t="s">
        <v>334</v>
      </c>
      <c r="B312" s="1">
        <v>44636</v>
      </c>
      <c r="C312" t="s">
        <v>16</v>
      </c>
      <c r="D312" t="s">
        <v>17</v>
      </c>
      <c r="E312" t="s">
        <v>27</v>
      </c>
      <c r="F312">
        <v>810.25</v>
      </c>
      <c r="G312">
        <v>3</v>
      </c>
      <c r="H312">
        <v>274.83999999999997</v>
      </c>
      <c r="I312">
        <f>YEAR(SalesData[[#This Row],[Order Date]])</f>
        <v>2022</v>
      </c>
    </row>
    <row r="313" spans="1:9" x14ac:dyDescent="0.25">
      <c r="A313" t="s">
        <v>335</v>
      </c>
      <c r="B313" s="1">
        <v>44784</v>
      </c>
      <c r="C313" t="s">
        <v>20</v>
      </c>
      <c r="D313" t="s">
        <v>10</v>
      </c>
      <c r="E313" t="s">
        <v>14</v>
      </c>
      <c r="F313">
        <v>456.92</v>
      </c>
      <c r="G313">
        <v>5</v>
      </c>
      <c r="H313">
        <v>244.75</v>
      </c>
      <c r="I313">
        <f>YEAR(SalesData[[#This Row],[Order Date]])</f>
        <v>2022</v>
      </c>
    </row>
    <row r="314" spans="1:9" x14ac:dyDescent="0.25">
      <c r="A314" t="s">
        <v>336</v>
      </c>
      <c r="B314" s="1">
        <v>45066</v>
      </c>
      <c r="C314" t="s">
        <v>13</v>
      </c>
      <c r="D314" t="s">
        <v>17</v>
      </c>
      <c r="E314" t="s">
        <v>18</v>
      </c>
      <c r="F314">
        <v>670.81</v>
      </c>
      <c r="G314">
        <v>4</v>
      </c>
      <c r="H314">
        <v>-87.34</v>
      </c>
      <c r="I314">
        <f>YEAR(SalesData[[#This Row],[Order Date]])</f>
        <v>2023</v>
      </c>
    </row>
    <row r="315" spans="1:9" x14ac:dyDescent="0.25">
      <c r="A315" t="s">
        <v>337</v>
      </c>
      <c r="B315" s="1">
        <v>44643</v>
      </c>
      <c r="C315" t="s">
        <v>16</v>
      </c>
      <c r="D315" t="s">
        <v>10</v>
      </c>
      <c r="E315" t="s">
        <v>14</v>
      </c>
      <c r="F315">
        <v>863.95</v>
      </c>
      <c r="G315">
        <v>3</v>
      </c>
      <c r="H315">
        <v>-34.71</v>
      </c>
      <c r="I315">
        <f>YEAR(SalesData[[#This Row],[Order Date]])</f>
        <v>2022</v>
      </c>
    </row>
    <row r="316" spans="1:9" x14ac:dyDescent="0.25">
      <c r="A316" t="s">
        <v>338</v>
      </c>
      <c r="B316" s="1">
        <v>44595</v>
      </c>
      <c r="C316" t="s">
        <v>9</v>
      </c>
      <c r="D316" t="s">
        <v>10</v>
      </c>
      <c r="E316" t="s">
        <v>11</v>
      </c>
      <c r="F316">
        <v>361.42</v>
      </c>
      <c r="G316">
        <v>9</v>
      </c>
      <c r="H316">
        <v>210.85</v>
      </c>
      <c r="I316">
        <f>YEAR(SalesData[[#This Row],[Order Date]])</f>
        <v>2022</v>
      </c>
    </row>
    <row r="317" spans="1:9" x14ac:dyDescent="0.25">
      <c r="A317" t="s">
        <v>339</v>
      </c>
      <c r="B317" s="1">
        <v>44870</v>
      </c>
      <c r="C317" t="s">
        <v>9</v>
      </c>
      <c r="D317" t="s">
        <v>17</v>
      </c>
      <c r="E317" t="s">
        <v>62</v>
      </c>
      <c r="F317">
        <v>981.28</v>
      </c>
      <c r="G317">
        <v>5</v>
      </c>
      <c r="H317">
        <v>110.57</v>
      </c>
      <c r="I317">
        <f>YEAR(SalesData[[#This Row],[Order Date]])</f>
        <v>2022</v>
      </c>
    </row>
    <row r="318" spans="1:9" x14ac:dyDescent="0.25">
      <c r="A318" t="s">
        <v>340</v>
      </c>
      <c r="B318" s="1">
        <v>44944</v>
      </c>
      <c r="C318" t="s">
        <v>9</v>
      </c>
      <c r="D318" t="s">
        <v>29</v>
      </c>
      <c r="E318" t="s">
        <v>50</v>
      </c>
      <c r="F318">
        <v>165.75</v>
      </c>
      <c r="G318">
        <v>5</v>
      </c>
      <c r="H318">
        <v>35.06</v>
      </c>
      <c r="I318">
        <f>YEAR(SalesData[[#This Row],[Order Date]])</f>
        <v>2023</v>
      </c>
    </row>
    <row r="319" spans="1:9" x14ac:dyDescent="0.25">
      <c r="A319" t="s">
        <v>341</v>
      </c>
      <c r="B319" s="1">
        <v>44709</v>
      </c>
      <c r="C319" t="s">
        <v>9</v>
      </c>
      <c r="D319" t="s">
        <v>10</v>
      </c>
      <c r="E319" t="s">
        <v>14</v>
      </c>
      <c r="F319">
        <v>727.88</v>
      </c>
      <c r="G319">
        <v>3</v>
      </c>
      <c r="H319">
        <v>-7.02</v>
      </c>
      <c r="I319">
        <f>YEAR(SalesData[[#This Row],[Order Date]])</f>
        <v>2022</v>
      </c>
    </row>
    <row r="320" spans="1:9" x14ac:dyDescent="0.25">
      <c r="A320" t="s">
        <v>342</v>
      </c>
      <c r="B320" s="1">
        <v>44733</v>
      </c>
      <c r="C320" t="s">
        <v>16</v>
      </c>
      <c r="D320" t="s">
        <v>17</v>
      </c>
      <c r="E320" t="s">
        <v>18</v>
      </c>
      <c r="F320">
        <v>41.12</v>
      </c>
      <c r="G320">
        <v>9</v>
      </c>
      <c r="H320">
        <v>-4.26</v>
      </c>
      <c r="I320">
        <f>YEAR(SalesData[[#This Row],[Order Date]])</f>
        <v>2022</v>
      </c>
    </row>
    <row r="321" spans="1:9" x14ac:dyDescent="0.25">
      <c r="A321" t="s">
        <v>343</v>
      </c>
      <c r="B321" s="1">
        <v>45258</v>
      </c>
      <c r="C321" t="s">
        <v>13</v>
      </c>
      <c r="D321" t="s">
        <v>17</v>
      </c>
      <c r="E321" t="s">
        <v>62</v>
      </c>
      <c r="F321">
        <v>179.69</v>
      </c>
      <c r="G321">
        <v>1</v>
      </c>
      <c r="H321">
        <v>-85.79</v>
      </c>
      <c r="I321">
        <f>YEAR(SalesData[[#This Row],[Order Date]])</f>
        <v>2023</v>
      </c>
    </row>
    <row r="322" spans="1:9" x14ac:dyDescent="0.25">
      <c r="A322" t="s">
        <v>344</v>
      </c>
      <c r="B322" s="1">
        <v>45195</v>
      </c>
      <c r="C322" t="s">
        <v>13</v>
      </c>
      <c r="D322" t="s">
        <v>17</v>
      </c>
      <c r="E322" t="s">
        <v>27</v>
      </c>
      <c r="F322">
        <v>896.22</v>
      </c>
      <c r="G322">
        <v>8</v>
      </c>
      <c r="H322">
        <v>-197.63</v>
      </c>
      <c r="I322">
        <f>YEAR(SalesData[[#This Row],[Order Date]])</f>
        <v>2023</v>
      </c>
    </row>
    <row r="323" spans="1:9" x14ac:dyDescent="0.25">
      <c r="A323" t="s">
        <v>345</v>
      </c>
      <c r="B323" s="1">
        <v>45097</v>
      </c>
      <c r="C323" t="s">
        <v>13</v>
      </c>
      <c r="D323" t="s">
        <v>29</v>
      </c>
      <c r="E323" t="s">
        <v>30</v>
      </c>
      <c r="F323">
        <v>653.11</v>
      </c>
      <c r="G323">
        <v>6</v>
      </c>
      <c r="H323">
        <v>-12.83</v>
      </c>
      <c r="I323">
        <f>YEAR(SalesData[[#This Row],[Order Date]])</f>
        <v>2023</v>
      </c>
    </row>
    <row r="324" spans="1:9" x14ac:dyDescent="0.25">
      <c r="A324" t="s">
        <v>346</v>
      </c>
      <c r="B324" s="1">
        <v>44944</v>
      </c>
      <c r="C324" t="s">
        <v>9</v>
      </c>
      <c r="D324" t="s">
        <v>29</v>
      </c>
      <c r="E324" t="s">
        <v>30</v>
      </c>
      <c r="F324">
        <v>187.7</v>
      </c>
      <c r="G324">
        <v>4</v>
      </c>
      <c r="H324">
        <v>121.36</v>
      </c>
      <c r="I324">
        <f>YEAR(SalesData[[#This Row],[Order Date]])</f>
        <v>2023</v>
      </c>
    </row>
    <row r="325" spans="1:9" x14ac:dyDescent="0.25">
      <c r="A325" t="s">
        <v>347</v>
      </c>
      <c r="B325" s="1">
        <v>44858</v>
      </c>
      <c r="C325" t="s">
        <v>16</v>
      </c>
      <c r="D325" t="s">
        <v>29</v>
      </c>
      <c r="E325" t="s">
        <v>50</v>
      </c>
      <c r="F325">
        <v>478.09</v>
      </c>
      <c r="G325">
        <v>2</v>
      </c>
      <c r="H325">
        <v>-117.21</v>
      </c>
      <c r="I325">
        <f>YEAR(SalesData[[#This Row],[Order Date]])</f>
        <v>2022</v>
      </c>
    </row>
    <row r="326" spans="1:9" x14ac:dyDescent="0.25">
      <c r="A326" t="s">
        <v>348</v>
      </c>
      <c r="B326" s="1">
        <v>45034</v>
      </c>
      <c r="C326" t="s">
        <v>13</v>
      </c>
      <c r="D326" t="s">
        <v>17</v>
      </c>
      <c r="E326" t="s">
        <v>18</v>
      </c>
      <c r="F326">
        <v>278.07</v>
      </c>
      <c r="G326">
        <v>2</v>
      </c>
      <c r="H326">
        <v>-139.5</v>
      </c>
      <c r="I326">
        <f>YEAR(SalesData[[#This Row],[Order Date]])</f>
        <v>2023</v>
      </c>
    </row>
    <row r="327" spans="1:9" x14ac:dyDescent="0.25">
      <c r="A327" t="s">
        <v>349</v>
      </c>
      <c r="B327" s="1">
        <v>44623</v>
      </c>
      <c r="C327" t="s">
        <v>20</v>
      </c>
      <c r="D327" t="s">
        <v>10</v>
      </c>
      <c r="E327" t="s">
        <v>14</v>
      </c>
      <c r="F327">
        <v>931.7</v>
      </c>
      <c r="G327">
        <v>7</v>
      </c>
      <c r="H327">
        <v>-115.8</v>
      </c>
      <c r="I327">
        <f>YEAR(SalesData[[#This Row],[Order Date]])</f>
        <v>2022</v>
      </c>
    </row>
    <row r="328" spans="1:9" x14ac:dyDescent="0.25">
      <c r="A328" t="s">
        <v>350</v>
      </c>
      <c r="B328" s="1">
        <v>44660</v>
      </c>
      <c r="C328" t="s">
        <v>13</v>
      </c>
      <c r="D328" t="s">
        <v>17</v>
      </c>
      <c r="E328" t="s">
        <v>62</v>
      </c>
      <c r="F328">
        <v>585.61</v>
      </c>
      <c r="G328">
        <v>1</v>
      </c>
      <c r="H328">
        <v>-24.45</v>
      </c>
      <c r="I328">
        <f>YEAR(SalesData[[#This Row],[Order Date]])</f>
        <v>2022</v>
      </c>
    </row>
    <row r="329" spans="1:9" x14ac:dyDescent="0.25">
      <c r="A329" t="s">
        <v>351</v>
      </c>
      <c r="B329" s="1">
        <v>45131</v>
      </c>
      <c r="C329" t="s">
        <v>16</v>
      </c>
      <c r="D329" t="s">
        <v>10</v>
      </c>
      <c r="E329" t="s">
        <v>14</v>
      </c>
      <c r="F329">
        <v>973.45</v>
      </c>
      <c r="G329">
        <v>2</v>
      </c>
      <c r="H329">
        <v>84.5</v>
      </c>
      <c r="I329">
        <f>YEAR(SalesData[[#This Row],[Order Date]])</f>
        <v>2023</v>
      </c>
    </row>
    <row r="330" spans="1:9" x14ac:dyDescent="0.25">
      <c r="A330" t="s">
        <v>352</v>
      </c>
      <c r="B330" s="1">
        <v>44975</v>
      </c>
      <c r="C330" t="s">
        <v>9</v>
      </c>
      <c r="D330" t="s">
        <v>10</v>
      </c>
      <c r="E330" t="s">
        <v>14</v>
      </c>
      <c r="F330">
        <v>502.67</v>
      </c>
      <c r="G330">
        <v>1</v>
      </c>
      <c r="H330">
        <v>105.74</v>
      </c>
      <c r="I330">
        <f>YEAR(SalesData[[#This Row],[Order Date]])</f>
        <v>2023</v>
      </c>
    </row>
    <row r="331" spans="1:9" x14ac:dyDescent="0.25">
      <c r="A331" t="s">
        <v>353</v>
      </c>
      <c r="B331" s="1">
        <v>44990</v>
      </c>
      <c r="C331" t="s">
        <v>16</v>
      </c>
      <c r="D331" t="s">
        <v>17</v>
      </c>
      <c r="E331" t="s">
        <v>27</v>
      </c>
      <c r="F331">
        <v>544.80999999999995</v>
      </c>
      <c r="G331">
        <v>1</v>
      </c>
      <c r="H331">
        <v>-123.6</v>
      </c>
      <c r="I331">
        <f>YEAR(SalesData[[#This Row],[Order Date]])</f>
        <v>2023</v>
      </c>
    </row>
    <row r="332" spans="1:9" x14ac:dyDescent="0.25">
      <c r="A332" t="s">
        <v>354</v>
      </c>
      <c r="B332" s="1">
        <v>45188</v>
      </c>
      <c r="C332" t="s">
        <v>13</v>
      </c>
      <c r="D332" t="s">
        <v>29</v>
      </c>
      <c r="E332" t="s">
        <v>40</v>
      </c>
      <c r="F332">
        <v>222.43</v>
      </c>
      <c r="G332">
        <v>1</v>
      </c>
      <c r="H332">
        <v>-34.64</v>
      </c>
      <c r="I332">
        <f>YEAR(SalesData[[#This Row],[Order Date]])</f>
        <v>2023</v>
      </c>
    </row>
    <row r="333" spans="1:9" x14ac:dyDescent="0.25">
      <c r="A333" t="s">
        <v>355</v>
      </c>
      <c r="B333" s="1">
        <v>45203</v>
      </c>
      <c r="C333" t="s">
        <v>13</v>
      </c>
      <c r="D333" t="s">
        <v>10</v>
      </c>
      <c r="E333" t="s">
        <v>14</v>
      </c>
      <c r="F333">
        <v>196.49</v>
      </c>
      <c r="G333">
        <v>4</v>
      </c>
      <c r="H333">
        <v>14.67</v>
      </c>
      <c r="I333">
        <f>YEAR(SalesData[[#This Row],[Order Date]])</f>
        <v>2023</v>
      </c>
    </row>
    <row r="334" spans="1:9" x14ac:dyDescent="0.25">
      <c r="A334" t="s">
        <v>356</v>
      </c>
      <c r="B334" s="1">
        <v>45284</v>
      </c>
      <c r="C334" t="s">
        <v>20</v>
      </c>
      <c r="D334" t="s">
        <v>10</v>
      </c>
      <c r="E334" t="s">
        <v>24</v>
      </c>
      <c r="F334">
        <v>60.58</v>
      </c>
      <c r="G334">
        <v>6</v>
      </c>
      <c r="H334">
        <v>-151.71</v>
      </c>
      <c r="I334">
        <f>YEAR(SalesData[[#This Row],[Order Date]])</f>
        <v>2023</v>
      </c>
    </row>
    <row r="335" spans="1:9" x14ac:dyDescent="0.25">
      <c r="A335" t="s">
        <v>357</v>
      </c>
      <c r="B335" s="1">
        <v>44728</v>
      </c>
      <c r="C335" t="s">
        <v>9</v>
      </c>
      <c r="D335" t="s">
        <v>29</v>
      </c>
      <c r="E335" t="s">
        <v>30</v>
      </c>
      <c r="F335">
        <v>494.69</v>
      </c>
      <c r="G335">
        <v>8</v>
      </c>
      <c r="H335">
        <v>100.88</v>
      </c>
      <c r="I335">
        <f>YEAR(SalesData[[#This Row],[Order Date]])</f>
        <v>2022</v>
      </c>
    </row>
    <row r="336" spans="1:9" x14ac:dyDescent="0.25">
      <c r="A336" t="s">
        <v>358</v>
      </c>
      <c r="B336" s="1">
        <v>44581</v>
      </c>
      <c r="C336" t="s">
        <v>16</v>
      </c>
      <c r="D336" t="s">
        <v>10</v>
      </c>
      <c r="E336" t="s">
        <v>24</v>
      </c>
      <c r="F336">
        <v>699.21</v>
      </c>
      <c r="G336">
        <v>8</v>
      </c>
      <c r="H336">
        <v>239.44</v>
      </c>
      <c r="I336">
        <f>YEAR(SalesData[[#This Row],[Order Date]])</f>
        <v>2022</v>
      </c>
    </row>
    <row r="337" spans="1:9" x14ac:dyDescent="0.25">
      <c r="A337" t="s">
        <v>359</v>
      </c>
      <c r="B337" s="1">
        <v>45148</v>
      </c>
      <c r="C337" t="s">
        <v>9</v>
      </c>
      <c r="D337" t="s">
        <v>29</v>
      </c>
      <c r="E337" t="s">
        <v>50</v>
      </c>
      <c r="F337">
        <v>661.53</v>
      </c>
      <c r="G337">
        <v>2</v>
      </c>
      <c r="H337">
        <v>75.44</v>
      </c>
      <c r="I337">
        <f>YEAR(SalesData[[#This Row],[Order Date]])</f>
        <v>2023</v>
      </c>
    </row>
    <row r="338" spans="1:9" x14ac:dyDescent="0.25">
      <c r="A338" t="s">
        <v>360</v>
      </c>
      <c r="B338" s="1">
        <v>44808</v>
      </c>
      <c r="C338" t="s">
        <v>20</v>
      </c>
      <c r="D338" t="s">
        <v>10</v>
      </c>
      <c r="E338" t="s">
        <v>24</v>
      </c>
      <c r="F338">
        <v>739.89</v>
      </c>
      <c r="G338">
        <v>2</v>
      </c>
      <c r="H338">
        <v>133.34</v>
      </c>
      <c r="I338">
        <f>YEAR(SalesData[[#This Row],[Order Date]])</f>
        <v>2022</v>
      </c>
    </row>
    <row r="339" spans="1:9" x14ac:dyDescent="0.25">
      <c r="A339" t="s">
        <v>361</v>
      </c>
      <c r="B339" s="1">
        <v>44892</v>
      </c>
      <c r="C339" t="s">
        <v>13</v>
      </c>
      <c r="D339" t="s">
        <v>10</v>
      </c>
      <c r="E339" t="s">
        <v>11</v>
      </c>
      <c r="F339">
        <v>967.11</v>
      </c>
      <c r="G339">
        <v>2</v>
      </c>
      <c r="H339">
        <v>188.37</v>
      </c>
      <c r="I339">
        <f>YEAR(SalesData[[#This Row],[Order Date]])</f>
        <v>2022</v>
      </c>
    </row>
    <row r="340" spans="1:9" x14ac:dyDescent="0.25">
      <c r="A340" t="s">
        <v>362</v>
      </c>
      <c r="B340" s="1">
        <v>44884</v>
      </c>
      <c r="C340" t="s">
        <v>13</v>
      </c>
      <c r="D340" t="s">
        <v>10</v>
      </c>
      <c r="E340" t="s">
        <v>11</v>
      </c>
      <c r="F340">
        <v>887.97</v>
      </c>
      <c r="G340">
        <v>4</v>
      </c>
      <c r="H340">
        <v>257.23</v>
      </c>
      <c r="I340">
        <f>YEAR(SalesData[[#This Row],[Order Date]])</f>
        <v>2022</v>
      </c>
    </row>
    <row r="341" spans="1:9" x14ac:dyDescent="0.25">
      <c r="A341" t="s">
        <v>363</v>
      </c>
      <c r="B341" s="1">
        <v>44983</v>
      </c>
      <c r="C341" t="s">
        <v>9</v>
      </c>
      <c r="D341" t="s">
        <v>10</v>
      </c>
      <c r="E341" t="s">
        <v>14</v>
      </c>
      <c r="F341">
        <v>985.71</v>
      </c>
      <c r="G341">
        <v>4</v>
      </c>
      <c r="H341">
        <v>65.650000000000006</v>
      </c>
      <c r="I341">
        <f>YEAR(SalesData[[#This Row],[Order Date]])</f>
        <v>2023</v>
      </c>
    </row>
    <row r="342" spans="1:9" x14ac:dyDescent="0.25">
      <c r="A342" t="s">
        <v>364</v>
      </c>
      <c r="B342" s="1">
        <v>45116</v>
      </c>
      <c r="C342" t="s">
        <v>20</v>
      </c>
      <c r="D342" t="s">
        <v>17</v>
      </c>
      <c r="E342" t="s">
        <v>27</v>
      </c>
      <c r="F342">
        <v>282.94</v>
      </c>
      <c r="G342">
        <v>9</v>
      </c>
      <c r="H342">
        <v>192.95</v>
      </c>
      <c r="I342">
        <f>YEAR(SalesData[[#This Row],[Order Date]])</f>
        <v>2023</v>
      </c>
    </row>
    <row r="343" spans="1:9" x14ac:dyDescent="0.25">
      <c r="A343" t="s">
        <v>365</v>
      </c>
      <c r="B343" s="1">
        <v>45224</v>
      </c>
      <c r="C343" t="s">
        <v>20</v>
      </c>
      <c r="D343" t="s">
        <v>10</v>
      </c>
      <c r="E343" t="s">
        <v>24</v>
      </c>
      <c r="F343">
        <v>377.25</v>
      </c>
      <c r="G343">
        <v>3</v>
      </c>
      <c r="H343">
        <v>-54.13</v>
      </c>
      <c r="I343">
        <f>YEAR(SalesData[[#This Row],[Order Date]])</f>
        <v>2023</v>
      </c>
    </row>
    <row r="344" spans="1:9" x14ac:dyDescent="0.25">
      <c r="A344" t="s">
        <v>366</v>
      </c>
      <c r="B344" s="1">
        <v>44805</v>
      </c>
      <c r="C344" t="s">
        <v>9</v>
      </c>
      <c r="D344" t="s">
        <v>10</v>
      </c>
      <c r="E344" t="s">
        <v>11</v>
      </c>
      <c r="F344">
        <v>600.96</v>
      </c>
      <c r="G344">
        <v>5</v>
      </c>
      <c r="H344">
        <v>199.43</v>
      </c>
      <c r="I344">
        <f>YEAR(SalesData[[#This Row],[Order Date]])</f>
        <v>2022</v>
      </c>
    </row>
    <row r="345" spans="1:9" x14ac:dyDescent="0.25">
      <c r="A345" t="s">
        <v>367</v>
      </c>
      <c r="B345" s="1">
        <v>44999</v>
      </c>
      <c r="C345" t="s">
        <v>16</v>
      </c>
      <c r="D345" t="s">
        <v>29</v>
      </c>
      <c r="E345" t="s">
        <v>30</v>
      </c>
      <c r="F345">
        <v>130.57</v>
      </c>
      <c r="G345">
        <v>5</v>
      </c>
      <c r="H345">
        <v>-113.7</v>
      </c>
      <c r="I345">
        <f>YEAR(SalesData[[#This Row],[Order Date]])</f>
        <v>2023</v>
      </c>
    </row>
    <row r="346" spans="1:9" x14ac:dyDescent="0.25">
      <c r="A346" t="s">
        <v>368</v>
      </c>
      <c r="B346" s="1">
        <v>45273</v>
      </c>
      <c r="C346" t="s">
        <v>13</v>
      </c>
      <c r="D346" t="s">
        <v>10</v>
      </c>
      <c r="E346" t="s">
        <v>11</v>
      </c>
      <c r="F346">
        <v>202.82</v>
      </c>
      <c r="G346">
        <v>9</v>
      </c>
      <c r="H346">
        <v>295.63</v>
      </c>
      <c r="I346">
        <f>YEAR(SalesData[[#This Row],[Order Date]])</f>
        <v>2023</v>
      </c>
    </row>
    <row r="347" spans="1:9" x14ac:dyDescent="0.25">
      <c r="A347" t="s">
        <v>369</v>
      </c>
      <c r="B347" s="1">
        <v>45153</v>
      </c>
      <c r="C347" t="s">
        <v>13</v>
      </c>
      <c r="D347" t="s">
        <v>17</v>
      </c>
      <c r="E347" t="s">
        <v>62</v>
      </c>
      <c r="F347">
        <v>265.49</v>
      </c>
      <c r="G347">
        <v>7</v>
      </c>
      <c r="H347">
        <v>142.82</v>
      </c>
      <c r="I347">
        <f>YEAR(SalesData[[#This Row],[Order Date]])</f>
        <v>2023</v>
      </c>
    </row>
    <row r="348" spans="1:9" x14ac:dyDescent="0.25">
      <c r="A348" t="s">
        <v>370</v>
      </c>
      <c r="B348" s="1">
        <v>44642</v>
      </c>
      <c r="C348" t="s">
        <v>9</v>
      </c>
      <c r="D348" t="s">
        <v>29</v>
      </c>
      <c r="E348" t="s">
        <v>40</v>
      </c>
      <c r="F348">
        <v>676.49</v>
      </c>
      <c r="G348">
        <v>4</v>
      </c>
      <c r="H348">
        <v>-39.04</v>
      </c>
      <c r="I348">
        <f>YEAR(SalesData[[#This Row],[Order Date]])</f>
        <v>2022</v>
      </c>
    </row>
    <row r="349" spans="1:9" x14ac:dyDescent="0.25">
      <c r="A349" t="s">
        <v>371</v>
      </c>
      <c r="B349" s="1">
        <v>45192</v>
      </c>
      <c r="C349" t="s">
        <v>16</v>
      </c>
      <c r="D349" t="s">
        <v>29</v>
      </c>
      <c r="E349" t="s">
        <v>30</v>
      </c>
      <c r="F349">
        <v>863.91</v>
      </c>
      <c r="G349">
        <v>8</v>
      </c>
      <c r="H349">
        <v>13.35</v>
      </c>
      <c r="I349">
        <f>YEAR(SalesData[[#This Row],[Order Date]])</f>
        <v>2023</v>
      </c>
    </row>
    <row r="350" spans="1:9" x14ac:dyDescent="0.25">
      <c r="A350" t="s">
        <v>372</v>
      </c>
      <c r="B350" s="1">
        <v>45072</v>
      </c>
      <c r="C350" t="s">
        <v>16</v>
      </c>
      <c r="D350" t="s">
        <v>29</v>
      </c>
      <c r="E350" t="s">
        <v>30</v>
      </c>
      <c r="F350">
        <v>729.26</v>
      </c>
      <c r="G350">
        <v>9</v>
      </c>
      <c r="H350">
        <v>-164.05</v>
      </c>
      <c r="I350">
        <f>YEAR(SalesData[[#This Row],[Order Date]])</f>
        <v>2023</v>
      </c>
    </row>
    <row r="351" spans="1:9" x14ac:dyDescent="0.25">
      <c r="A351" t="s">
        <v>373</v>
      </c>
      <c r="B351" s="1">
        <v>44690</v>
      </c>
      <c r="C351" t="s">
        <v>20</v>
      </c>
      <c r="D351" t="s">
        <v>29</v>
      </c>
      <c r="E351" t="s">
        <v>30</v>
      </c>
      <c r="F351">
        <v>234.27</v>
      </c>
      <c r="G351">
        <v>9</v>
      </c>
      <c r="H351">
        <v>49.96</v>
      </c>
      <c r="I351">
        <f>YEAR(SalesData[[#This Row],[Order Date]])</f>
        <v>2022</v>
      </c>
    </row>
    <row r="352" spans="1:9" x14ac:dyDescent="0.25">
      <c r="A352" t="s">
        <v>374</v>
      </c>
      <c r="B352" s="1">
        <v>44644</v>
      </c>
      <c r="C352" t="s">
        <v>13</v>
      </c>
      <c r="D352" t="s">
        <v>29</v>
      </c>
      <c r="E352" t="s">
        <v>30</v>
      </c>
      <c r="F352">
        <v>580.09</v>
      </c>
      <c r="G352">
        <v>3</v>
      </c>
      <c r="H352">
        <v>181.68</v>
      </c>
      <c r="I352">
        <f>YEAR(SalesData[[#This Row],[Order Date]])</f>
        <v>2022</v>
      </c>
    </row>
    <row r="353" spans="1:9" x14ac:dyDescent="0.25">
      <c r="A353" t="s">
        <v>375</v>
      </c>
      <c r="B353" s="1">
        <v>45053</v>
      </c>
      <c r="C353" t="s">
        <v>13</v>
      </c>
      <c r="D353" t="s">
        <v>29</v>
      </c>
      <c r="E353" t="s">
        <v>30</v>
      </c>
      <c r="F353">
        <v>188.47</v>
      </c>
      <c r="G353">
        <v>6</v>
      </c>
      <c r="H353">
        <v>41.92</v>
      </c>
      <c r="I353">
        <f>YEAR(SalesData[[#This Row],[Order Date]])</f>
        <v>2023</v>
      </c>
    </row>
    <row r="354" spans="1:9" x14ac:dyDescent="0.25">
      <c r="A354" t="s">
        <v>376</v>
      </c>
      <c r="B354" s="1">
        <v>45194</v>
      </c>
      <c r="C354" t="s">
        <v>13</v>
      </c>
      <c r="D354" t="s">
        <v>10</v>
      </c>
      <c r="E354" t="s">
        <v>24</v>
      </c>
      <c r="F354">
        <v>936.63</v>
      </c>
      <c r="G354">
        <v>2</v>
      </c>
      <c r="H354">
        <v>-17.920000000000002</v>
      </c>
      <c r="I354">
        <f>YEAR(SalesData[[#This Row],[Order Date]])</f>
        <v>2023</v>
      </c>
    </row>
    <row r="355" spans="1:9" x14ac:dyDescent="0.25">
      <c r="A355" t="s">
        <v>377</v>
      </c>
      <c r="B355" s="1">
        <v>44938</v>
      </c>
      <c r="C355" t="s">
        <v>16</v>
      </c>
      <c r="D355" t="s">
        <v>17</v>
      </c>
      <c r="E355" t="s">
        <v>62</v>
      </c>
      <c r="F355">
        <v>607.65</v>
      </c>
      <c r="G355">
        <v>2</v>
      </c>
      <c r="H355">
        <v>-48.37</v>
      </c>
      <c r="I355">
        <f>YEAR(SalesData[[#This Row],[Order Date]])</f>
        <v>2023</v>
      </c>
    </row>
    <row r="356" spans="1:9" x14ac:dyDescent="0.25">
      <c r="A356" t="s">
        <v>378</v>
      </c>
      <c r="B356" s="1">
        <v>44957</v>
      </c>
      <c r="C356" t="s">
        <v>20</v>
      </c>
      <c r="D356" t="s">
        <v>17</v>
      </c>
      <c r="E356" t="s">
        <v>27</v>
      </c>
      <c r="F356">
        <v>392.53</v>
      </c>
      <c r="G356">
        <v>5</v>
      </c>
      <c r="H356">
        <v>77.739999999999995</v>
      </c>
      <c r="I356">
        <f>YEAR(SalesData[[#This Row],[Order Date]])</f>
        <v>2023</v>
      </c>
    </row>
    <row r="357" spans="1:9" x14ac:dyDescent="0.25">
      <c r="A357" t="s">
        <v>379</v>
      </c>
      <c r="B357" s="1">
        <v>44911</v>
      </c>
      <c r="C357" t="s">
        <v>13</v>
      </c>
      <c r="D357" t="s">
        <v>17</v>
      </c>
      <c r="E357" t="s">
        <v>62</v>
      </c>
      <c r="F357">
        <v>99.83</v>
      </c>
      <c r="G357">
        <v>9</v>
      </c>
      <c r="H357">
        <v>155.91999999999999</v>
      </c>
      <c r="I357">
        <f>YEAR(SalesData[[#This Row],[Order Date]])</f>
        <v>2022</v>
      </c>
    </row>
    <row r="358" spans="1:9" x14ac:dyDescent="0.25">
      <c r="A358" t="s">
        <v>380</v>
      </c>
      <c r="B358" s="1">
        <v>44933</v>
      </c>
      <c r="C358" t="s">
        <v>16</v>
      </c>
      <c r="D358" t="s">
        <v>29</v>
      </c>
      <c r="E358" t="s">
        <v>40</v>
      </c>
      <c r="F358">
        <v>737.36</v>
      </c>
      <c r="G358">
        <v>10</v>
      </c>
      <c r="H358">
        <v>-100.99</v>
      </c>
      <c r="I358">
        <f>YEAR(SalesData[[#This Row],[Order Date]])</f>
        <v>2023</v>
      </c>
    </row>
    <row r="359" spans="1:9" x14ac:dyDescent="0.25">
      <c r="A359" t="s">
        <v>381</v>
      </c>
      <c r="B359" s="1">
        <v>44892</v>
      </c>
      <c r="C359" t="s">
        <v>13</v>
      </c>
      <c r="D359" t="s">
        <v>10</v>
      </c>
      <c r="E359" t="s">
        <v>14</v>
      </c>
      <c r="F359">
        <v>847.57</v>
      </c>
      <c r="G359">
        <v>5</v>
      </c>
      <c r="H359">
        <v>-189.44</v>
      </c>
      <c r="I359">
        <f>YEAR(SalesData[[#This Row],[Order Date]])</f>
        <v>2022</v>
      </c>
    </row>
    <row r="360" spans="1:9" x14ac:dyDescent="0.25">
      <c r="A360" t="s">
        <v>382</v>
      </c>
      <c r="B360" s="1">
        <v>44881</v>
      </c>
      <c r="C360" t="s">
        <v>13</v>
      </c>
      <c r="D360" t="s">
        <v>10</v>
      </c>
      <c r="E360" t="s">
        <v>11</v>
      </c>
      <c r="F360">
        <v>376.54</v>
      </c>
      <c r="G360">
        <v>6</v>
      </c>
      <c r="H360">
        <v>-96.6</v>
      </c>
      <c r="I360">
        <f>YEAR(SalesData[[#This Row],[Order Date]])</f>
        <v>2022</v>
      </c>
    </row>
    <row r="361" spans="1:9" x14ac:dyDescent="0.25">
      <c r="A361" t="s">
        <v>383</v>
      </c>
      <c r="B361" s="1">
        <v>45289</v>
      </c>
      <c r="C361" t="s">
        <v>16</v>
      </c>
      <c r="D361" t="s">
        <v>29</v>
      </c>
      <c r="E361" t="s">
        <v>40</v>
      </c>
      <c r="F361">
        <v>92.25</v>
      </c>
      <c r="G361">
        <v>10</v>
      </c>
      <c r="H361">
        <v>196.76</v>
      </c>
      <c r="I361">
        <f>YEAR(SalesData[[#This Row],[Order Date]])</f>
        <v>2023</v>
      </c>
    </row>
    <row r="362" spans="1:9" x14ac:dyDescent="0.25">
      <c r="A362" t="s">
        <v>384</v>
      </c>
      <c r="B362" s="1">
        <v>44945</v>
      </c>
      <c r="C362" t="s">
        <v>13</v>
      </c>
      <c r="D362" t="s">
        <v>29</v>
      </c>
      <c r="E362" t="s">
        <v>50</v>
      </c>
      <c r="F362">
        <v>392.16</v>
      </c>
      <c r="G362">
        <v>3</v>
      </c>
      <c r="H362">
        <v>-186.59</v>
      </c>
      <c r="I362">
        <f>YEAR(SalesData[[#This Row],[Order Date]])</f>
        <v>2023</v>
      </c>
    </row>
    <row r="363" spans="1:9" x14ac:dyDescent="0.25">
      <c r="A363" t="s">
        <v>385</v>
      </c>
      <c r="B363" s="1">
        <v>45003</v>
      </c>
      <c r="C363" t="s">
        <v>13</v>
      </c>
      <c r="D363" t="s">
        <v>17</v>
      </c>
      <c r="E363" t="s">
        <v>62</v>
      </c>
      <c r="F363">
        <v>832.63</v>
      </c>
      <c r="G363">
        <v>9</v>
      </c>
      <c r="H363">
        <v>-65.17</v>
      </c>
      <c r="I363">
        <f>YEAR(SalesData[[#This Row],[Order Date]])</f>
        <v>2023</v>
      </c>
    </row>
    <row r="364" spans="1:9" x14ac:dyDescent="0.25">
      <c r="A364" t="s">
        <v>386</v>
      </c>
      <c r="B364" s="1">
        <v>44738</v>
      </c>
      <c r="C364" t="s">
        <v>13</v>
      </c>
      <c r="D364" t="s">
        <v>17</v>
      </c>
      <c r="E364" t="s">
        <v>62</v>
      </c>
      <c r="F364">
        <v>624.33000000000004</v>
      </c>
      <c r="G364">
        <v>2</v>
      </c>
      <c r="H364">
        <v>-53.72</v>
      </c>
      <c r="I364">
        <f>YEAR(SalesData[[#This Row],[Order Date]])</f>
        <v>2022</v>
      </c>
    </row>
    <row r="365" spans="1:9" x14ac:dyDescent="0.25">
      <c r="A365" t="s">
        <v>387</v>
      </c>
      <c r="B365" s="1">
        <v>44971</v>
      </c>
      <c r="C365" t="s">
        <v>13</v>
      </c>
      <c r="D365" t="s">
        <v>29</v>
      </c>
      <c r="E365" t="s">
        <v>30</v>
      </c>
      <c r="F365">
        <v>200.09</v>
      </c>
      <c r="G365">
        <v>4</v>
      </c>
      <c r="H365">
        <v>7.6</v>
      </c>
      <c r="I365">
        <f>YEAR(SalesData[[#This Row],[Order Date]])</f>
        <v>2023</v>
      </c>
    </row>
    <row r="366" spans="1:9" x14ac:dyDescent="0.25">
      <c r="A366" t="s">
        <v>388</v>
      </c>
      <c r="B366" s="1">
        <v>44643</v>
      </c>
      <c r="C366" t="s">
        <v>13</v>
      </c>
      <c r="D366" t="s">
        <v>17</v>
      </c>
      <c r="E366" t="s">
        <v>27</v>
      </c>
      <c r="F366">
        <v>759.33</v>
      </c>
      <c r="G366">
        <v>10</v>
      </c>
      <c r="H366">
        <v>-169.92</v>
      </c>
      <c r="I366">
        <f>YEAR(SalesData[[#This Row],[Order Date]])</f>
        <v>2022</v>
      </c>
    </row>
    <row r="367" spans="1:9" x14ac:dyDescent="0.25">
      <c r="A367" t="s">
        <v>389</v>
      </c>
      <c r="B367" s="1">
        <v>45253</v>
      </c>
      <c r="C367" t="s">
        <v>16</v>
      </c>
      <c r="D367" t="s">
        <v>29</v>
      </c>
      <c r="E367" t="s">
        <v>40</v>
      </c>
      <c r="F367">
        <v>313.39</v>
      </c>
      <c r="G367">
        <v>5</v>
      </c>
      <c r="H367">
        <v>48.11</v>
      </c>
      <c r="I367">
        <f>YEAR(SalesData[[#This Row],[Order Date]])</f>
        <v>2023</v>
      </c>
    </row>
    <row r="368" spans="1:9" x14ac:dyDescent="0.25">
      <c r="A368" t="s">
        <v>390</v>
      </c>
      <c r="B368" s="1">
        <v>44797</v>
      </c>
      <c r="C368" t="s">
        <v>20</v>
      </c>
      <c r="D368" t="s">
        <v>10</v>
      </c>
      <c r="E368" t="s">
        <v>14</v>
      </c>
      <c r="F368">
        <v>964.51</v>
      </c>
      <c r="G368">
        <v>9</v>
      </c>
      <c r="H368">
        <v>-150.78</v>
      </c>
      <c r="I368">
        <f>YEAR(SalesData[[#This Row],[Order Date]])</f>
        <v>2022</v>
      </c>
    </row>
    <row r="369" spans="1:9" x14ac:dyDescent="0.25">
      <c r="A369" t="s">
        <v>391</v>
      </c>
      <c r="B369" s="1">
        <v>44797</v>
      </c>
      <c r="C369" t="s">
        <v>9</v>
      </c>
      <c r="D369" t="s">
        <v>17</v>
      </c>
      <c r="E369" t="s">
        <v>62</v>
      </c>
      <c r="F369">
        <v>141.38</v>
      </c>
      <c r="G369">
        <v>4</v>
      </c>
      <c r="H369">
        <v>68.27</v>
      </c>
      <c r="I369">
        <f>YEAR(SalesData[[#This Row],[Order Date]])</f>
        <v>2022</v>
      </c>
    </row>
    <row r="370" spans="1:9" x14ac:dyDescent="0.25">
      <c r="A370" t="s">
        <v>392</v>
      </c>
      <c r="B370" s="1">
        <v>44859</v>
      </c>
      <c r="C370" t="s">
        <v>13</v>
      </c>
      <c r="D370" t="s">
        <v>17</v>
      </c>
      <c r="E370" t="s">
        <v>62</v>
      </c>
      <c r="F370">
        <v>503.26</v>
      </c>
      <c r="G370">
        <v>4</v>
      </c>
      <c r="H370">
        <v>218.57</v>
      </c>
      <c r="I370">
        <f>YEAR(SalesData[[#This Row],[Order Date]])</f>
        <v>2022</v>
      </c>
    </row>
    <row r="371" spans="1:9" x14ac:dyDescent="0.25">
      <c r="A371" t="s">
        <v>393</v>
      </c>
      <c r="B371" s="1">
        <v>45086</v>
      </c>
      <c r="C371" t="s">
        <v>13</v>
      </c>
      <c r="D371" t="s">
        <v>29</v>
      </c>
      <c r="E371" t="s">
        <v>30</v>
      </c>
      <c r="F371">
        <v>838.82</v>
      </c>
      <c r="G371">
        <v>2</v>
      </c>
      <c r="H371">
        <v>-30.23</v>
      </c>
      <c r="I371">
        <f>YEAR(SalesData[[#This Row],[Order Date]])</f>
        <v>2023</v>
      </c>
    </row>
    <row r="372" spans="1:9" x14ac:dyDescent="0.25">
      <c r="A372" t="s">
        <v>394</v>
      </c>
      <c r="B372" s="1">
        <v>44714</v>
      </c>
      <c r="C372" t="s">
        <v>16</v>
      </c>
      <c r="D372" t="s">
        <v>10</v>
      </c>
      <c r="E372" t="s">
        <v>11</v>
      </c>
      <c r="F372">
        <v>840.95</v>
      </c>
      <c r="G372">
        <v>2</v>
      </c>
      <c r="H372">
        <v>173.09</v>
      </c>
      <c r="I372">
        <f>YEAR(SalesData[[#This Row],[Order Date]])</f>
        <v>2022</v>
      </c>
    </row>
    <row r="373" spans="1:9" x14ac:dyDescent="0.25">
      <c r="A373" t="s">
        <v>395</v>
      </c>
      <c r="B373" s="1">
        <v>44570</v>
      </c>
      <c r="C373" t="s">
        <v>20</v>
      </c>
      <c r="D373" t="s">
        <v>10</v>
      </c>
      <c r="E373" t="s">
        <v>24</v>
      </c>
      <c r="F373">
        <v>919.34</v>
      </c>
      <c r="G373">
        <v>1</v>
      </c>
      <c r="H373">
        <v>108.82</v>
      </c>
      <c r="I373">
        <f>YEAR(SalesData[[#This Row],[Order Date]])</f>
        <v>2022</v>
      </c>
    </row>
    <row r="374" spans="1:9" x14ac:dyDescent="0.25">
      <c r="A374" t="s">
        <v>396</v>
      </c>
      <c r="B374" s="1">
        <v>44980</v>
      </c>
      <c r="C374" t="s">
        <v>16</v>
      </c>
      <c r="D374" t="s">
        <v>10</v>
      </c>
      <c r="E374" t="s">
        <v>24</v>
      </c>
      <c r="F374">
        <v>203.78</v>
      </c>
      <c r="G374">
        <v>6</v>
      </c>
      <c r="H374">
        <v>90.13</v>
      </c>
      <c r="I374">
        <f>YEAR(SalesData[[#This Row],[Order Date]])</f>
        <v>2023</v>
      </c>
    </row>
    <row r="375" spans="1:9" x14ac:dyDescent="0.25">
      <c r="A375" t="s">
        <v>397</v>
      </c>
      <c r="B375" s="1">
        <v>44605</v>
      </c>
      <c r="C375" t="s">
        <v>20</v>
      </c>
      <c r="D375" t="s">
        <v>29</v>
      </c>
      <c r="E375" t="s">
        <v>30</v>
      </c>
      <c r="F375">
        <v>554.01</v>
      </c>
      <c r="G375">
        <v>3</v>
      </c>
      <c r="H375">
        <v>43.13</v>
      </c>
      <c r="I375">
        <f>YEAR(SalesData[[#This Row],[Order Date]])</f>
        <v>2022</v>
      </c>
    </row>
    <row r="376" spans="1:9" x14ac:dyDescent="0.25">
      <c r="A376" t="s">
        <v>398</v>
      </c>
      <c r="B376" s="1">
        <v>44705</v>
      </c>
      <c r="C376" t="s">
        <v>20</v>
      </c>
      <c r="D376" t="s">
        <v>29</v>
      </c>
      <c r="E376" t="s">
        <v>40</v>
      </c>
      <c r="F376">
        <v>755.21</v>
      </c>
      <c r="G376">
        <v>10</v>
      </c>
      <c r="H376">
        <v>248.34</v>
      </c>
      <c r="I376">
        <f>YEAR(SalesData[[#This Row],[Order Date]])</f>
        <v>2022</v>
      </c>
    </row>
    <row r="377" spans="1:9" x14ac:dyDescent="0.25">
      <c r="A377" t="s">
        <v>399</v>
      </c>
      <c r="B377" s="1">
        <v>44803</v>
      </c>
      <c r="C377" t="s">
        <v>9</v>
      </c>
      <c r="D377" t="s">
        <v>17</v>
      </c>
      <c r="E377" t="s">
        <v>27</v>
      </c>
      <c r="F377">
        <v>73.63</v>
      </c>
      <c r="G377">
        <v>6</v>
      </c>
      <c r="H377">
        <v>-78.239999999999995</v>
      </c>
      <c r="I377">
        <f>YEAR(SalesData[[#This Row],[Order Date]])</f>
        <v>2022</v>
      </c>
    </row>
    <row r="378" spans="1:9" x14ac:dyDescent="0.25">
      <c r="A378" t="s">
        <v>400</v>
      </c>
      <c r="B378" s="1">
        <v>44599</v>
      </c>
      <c r="C378" t="s">
        <v>9</v>
      </c>
      <c r="D378" t="s">
        <v>10</v>
      </c>
      <c r="E378" t="s">
        <v>11</v>
      </c>
      <c r="F378">
        <v>792.56</v>
      </c>
      <c r="G378">
        <v>8</v>
      </c>
      <c r="H378">
        <v>125.13</v>
      </c>
      <c r="I378">
        <f>YEAR(SalesData[[#This Row],[Order Date]])</f>
        <v>2022</v>
      </c>
    </row>
    <row r="379" spans="1:9" x14ac:dyDescent="0.25">
      <c r="A379" t="s">
        <v>401</v>
      </c>
      <c r="B379" s="1">
        <v>44921</v>
      </c>
      <c r="C379" t="s">
        <v>9</v>
      </c>
      <c r="D379" t="s">
        <v>17</v>
      </c>
      <c r="E379" t="s">
        <v>18</v>
      </c>
      <c r="F379">
        <v>971.19</v>
      </c>
      <c r="G379">
        <v>1</v>
      </c>
      <c r="H379">
        <v>-140.15</v>
      </c>
      <c r="I379">
        <f>YEAR(SalesData[[#This Row],[Order Date]])</f>
        <v>2022</v>
      </c>
    </row>
    <row r="380" spans="1:9" x14ac:dyDescent="0.25">
      <c r="A380" t="s">
        <v>402</v>
      </c>
      <c r="B380" s="1">
        <v>45058</v>
      </c>
      <c r="C380" t="s">
        <v>9</v>
      </c>
      <c r="D380" t="s">
        <v>17</v>
      </c>
      <c r="E380" t="s">
        <v>18</v>
      </c>
      <c r="F380">
        <v>816.71</v>
      </c>
      <c r="G380">
        <v>7</v>
      </c>
      <c r="H380">
        <v>-199.08</v>
      </c>
      <c r="I380">
        <f>YEAR(SalesData[[#This Row],[Order Date]])</f>
        <v>2023</v>
      </c>
    </row>
    <row r="381" spans="1:9" x14ac:dyDescent="0.25">
      <c r="A381" t="s">
        <v>403</v>
      </c>
      <c r="B381" s="1">
        <v>45241</v>
      </c>
      <c r="C381" t="s">
        <v>13</v>
      </c>
      <c r="D381" t="s">
        <v>17</v>
      </c>
      <c r="E381" t="s">
        <v>18</v>
      </c>
      <c r="F381">
        <v>884.68</v>
      </c>
      <c r="G381">
        <v>1</v>
      </c>
      <c r="H381">
        <v>-155.19999999999999</v>
      </c>
      <c r="I381">
        <f>YEAR(SalesData[[#This Row],[Order Date]])</f>
        <v>2023</v>
      </c>
    </row>
    <row r="382" spans="1:9" x14ac:dyDescent="0.25">
      <c r="A382" t="s">
        <v>404</v>
      </c>
      <c r="B382" s="1">
        <v>45106</v>
      </c>
      <c r="C382" t="s">
        <v>20</v>
      </c>
      <c r="D382" t="s">
        <v>17</v>
      </c>
      <c r="E382" t="s">
        <v>27</v>
      </c>
      <c r="F382">
        <v>279.44</v>
      </c>
      <c r="G382">
        <v>5</v>
      </c>
      <c r="H382">
        <v>-64.94</v>
      </c>
      <c r="I382">
        <f>YEAR(SalesData[[#This Row],[Order Date]])</f>
        <v>2023</v>
      </c>
    </row>
    <row r="383" spans="1:9" x14ac:dyDescent="0.25">
      <c r="A383" t="s">
        <v>405</v>
      </c>
      <c r="B383" s="1">
        <v>44987</v>
      </c>
      <c r="C383" t="s">
        <v>9</v>
      </c>
      <c r="D383" t="s">
        <v>17</v>
      </c>
      <c r="E383" t="s">
        <v>18</v>
      </c>
      <c r="F383">
        <v>203.03</v>
      </c>
      <c r="G383">
        <v>1</v>
      </c>
      <c r="H383">
        <v>62.12</v>
      </c>
      <c r="I383">
        <f>YEAR(SalesData[[#This Row],[Order Date]])</f>
        <v>2023</v>
      </c>
    </row>
    <row r="384" spans="1:9" x14ac:dyDescent="0.25">
      <c r="A384" t="s">
        <v>406</v>
      </c>
      <c r="B384" s="1">
        <v>44642</v>
      </c>
      <c r="C384" t="s">
        <v>9</v>
      </c>
      <c r="D384" t="s">
        <v>10</v>
      </c>
      <c r="E384" t="s">
        <v>24</v>
      </c>
      <c r="F384">
        <v>708.59</v>
      </c>
      <c r="G384">
        <v>1</v>
      </c>
      <c r="H384">
        <v>37.9</v>
      </c>
      <c r="I384">
        <f>YEAR(SalesData[[#This Row],[Order Date]])</f>
        <v>2022</v>
      </c>
    </row>
    <row r="385" spans="1:9" x14ac:dyDescent="0.25">
      <c r="A385" t="s">
        <v>407</v>
      </c>
      <c r="B385" s="1">
        <v>44744</v>
      </c>
      <c r="C385" t="s">
        <v>20</v>
      </c>
      <c r="D385" t="s">
        <v>29</v>
      </c>
      <c r="E385" t="s">
        <v>30</v>
      </c>
      <c r="F385">
        <v>184.01</v>
      </c>
      <c r="G385">
        <v>8</v>
      </c>
      <c r="H385">
        <v>-56.48</v>
      </c>
      <c r="I385">
        <f>YEAR(SalesData[[#This Row],[Order Date]])</f>
        <v>2022</v>
      </c>
    </row>
    <row r="386" spans="1:9" x14ac:dyDescent="0.25">
      <c r="A386" t="s">
        <v>408</v>
      </c>
      <c r="B386" s="1">
        <v>44827</v>
      </c>
      <c r="C386" t="s">
        <v>13</v>
      </c>
      <c r="D386" t="s">
        <v>17</v>
      </c>
      <c r="E386" t="s">
        <v>18</v>
      </c>
      <c r="F386">
        <v>148.28</v>
      </c>
      <c r="G386">
        <v>4</v>
      </c>
      <c r="H386">
        <v>250.44</v>
      </c>
      <c r="I386">
        <f>YEAR(SalesData[[#This Row],[Order Date]])</f>
        <v>2022</v>
      </c>
    </row>
    <row r="387" spans="1:9" x14ac:dyDescent="0.25">
      <c r="A387" t="s">
        <v>409</v>
      </c>
      <c r="B387" s="1">
        <v>45231</v>
      </c>
      <c r="C387" t="s">
        <v>16</v>
      </c>
      <c r="D387" t="s">
        <v>10</v>
      </c>
      <c r="E387" t="s">
        <v>24</v>
      </c>
      <c r="F387">
        <v>693.52</v>
      </c>
      <c r="G387">
        <v>1</v>
      </c>
      <c r="H387">
        <v>-158.85</v>
      </c>
      <c r="I387">
        <f>YEAR(SalesData[[#This Row],[Order Date]])</f>
        <v>2023</v>
      </c>
    </row>
    <row r="388" spans="1:9" x14ac:dyDescent="0.25">
      <c r="A388" t="s">
        <v>410</v>
      </c>
      <c r="B388" s="1">
        <v>44827</v>
      </c>
      <c r="C388" t="s">
        <v>9</v>
      </c>
      <c r="D388" t="s">
        <v>29</v>
      </c>
      <c r="E388" t="s">
        <v>40</v>
      </c>
      <c r="F388">
        <v>995.95</v>
      </c>
      <c r="G388">
        <v>8</v>
      </c>
      <c r="H388">
        <v>-98.66</v>
      </c>
      <c r="I388">
        <f>YEAR(SalesData[[#This Row],[Order Date]])</f>
        <v>2022</v>
      </c>
    </row>
    <row r="389" spans="1:9" x14ac:dyDescent="0.25">
      <c r="A389" t="s">
        <v>411</v>
      </c>
      <c r="B389" s="1">
        <v>45205</v>
      </c>
      <c r="C389" t="s">
        <v>13</v>
      </c>
      <c r="D389" t="s">
        <v>17</v>
      </c>
      <c r="E389" t="s">
        <v>18</v>
      </c>
      <c r="F389">
        <v>549.14</v>
      </c>
      <c r="G389">
        <v>4</v>
      </c>
      <c r="H389">
        <v>-184.68</v>
      </c>
      <c r="I389">
        <f>YEAR(SalesData[[#This Row],[Order Date]])</f>
        <v>2023</v>
      </c>
    </row>
    <row r="390" spans="1:9" x14ac:dyDescent="0.25">
      <c r="A390" t="s">
        <v>412</v>
      </c>
      <c r="B390" s="1">
        <v>44610</v>
      </c>
      <c r="C390" t="s">
        <v>16</v>
      </c>
      <c r="D390" t="s">
        <v>17</v>
      </c>
      <c r="E390" t="s">
        <v>18</v>
      </c>
      <c r="F390">
        <v>345.04</v>
      </c>
      <c r="G390">
        <v>7</v>
      </c>
      <c r="H390">
        <v>176.17</v>
      </c>
      <c r="I390">
        <f>YEAR(SalesData[[#This Row],[Order Date]])</f>
        <v>2022</v>
      </c>
    </row>
    <row r="391" spans="1:9" x14ac:dyDescent="0.25">
      <c r="A391" t="s">
        <v>413</v>
      </c>
      <c r="B391" s="1">
        <v>44700</v>
      </c>
      <c r="C391" t="s">
        <v>20</v>
      </c>
      <c r="D391" t="s">
        <v>29</v>
      </c>
      <c r="E391" t="s">
        <v>30</v>
      </c>
      <c r="F391">
        <v>207.86</v>
      </c>
      <c r="G391">
        <v>2</v>
      </c>
      <c r="H391">
        <v>209.2</v>
      </c>
      <c r="I391">
        <f>YEAR(SalesData[[#This Row],[Order Date]])</f>
        <v>2022</v>
      </c>
    </row>
    <row r="392" spans="1:9" x14ac:dyDescent="0.25">
      <c r="A392" t="s">
        <v>414</v>
      </c>
      <c r="B392" s="1">
        <v>45158</v>
      </c>
      <c r="C392" t="s">
        <v>13</v>
      </c>
      <c r="D392" t="s">
        <v>17</v>
      </c>
      <c r="E392" t="s">
        <v>62</v>
      </c>
      <c r="F392">
        <v>557.69000000000005</v>
      </c>
      <c r="G392">
        <v>3</v>
      </c>
      <c r="H392">
        <v>200.47</v>
      </c>
      <c r="I392">
        <f>YEAR(SalesData[[#This Row],[Order Date]])</f>
        <v>2023</v>
      </c>
    </row>
    <row r="393" spans="1:9" x14ac:dyDescent="0.25">
      <c r="A393" t="s">
        <v>415</v>
      </c>
      <c r="B393" s="1">
        <v>45157</v>
      </c>
      <c r="C393" t="s">
        <v>9</v>
      </c>
      <c r="D393" t="s">
        <v>10</v>
      </c>
      <c r="E393" t="s">
        <v>14</v>
      </c>
      <c r="F393">
        <v>859.6</v>
      </c>
      <c r="G393">
        <v>5</v>
      </c>
      <c r="H393">
        <v>-96.37</v>
      </c>
      <c r="I393">
        <f>YEAR(SalesData[[#This Row],[Order Date]])</f>
        <v>2023</v>
      </c>
    </row>
    <row r="394" spans="1:9" x14ac:dyDescent="0.25">
      <c r="A394" t="s">
        <v>416</v>
      </c>
      <c r="B394" s="1">
        <v>44777</v>
      </c>
      <c r="C394" t="s">
        <v>20</v>
      </c>
      <c r="D394" t="s">
        <v>29</v>
      </c>
      <c r="E394" t="s">
        <v>40</v>
      </c>
      <c r="F394">
        <v>148.04</v>
      </c>
      <c r="G394">
        <v>1</v>
      </c>
      <c r="H394">
        <v>293.51</v>
      </c>
      <c r="I394">
        <f>YEAR(SalesData[[#This Row],[Order Date]])</f>
        <v>2022</v>
      </c>
    </row>
    <row r="395" spans="1:9" x14ac:dyDescent="0.25">
      <c r="A395" t="s">
        <v>417</v>
      </c>
      <c r="B395" s="1">
        <v>45038</v>
      </c>
      <c r="C395" t="s">
        <v>20</v>
      </c>
      <c r="D395" t="s">
        <v>29</v>
      </c>
      <c r="E395" t="s">
        <v>40</v>
      </c>
      <c r="F395">
        <v>368.35</v>
      </c>
      <c r="G395">
        <v>6</v>
      </c>
      <c r="H395">
        <v>144.29</v>
      </c>
      <c r="I395">
        <f>YEAR(SalesData[[#This Row],[Order Date]])</f>
        <v>2023</v>
      </c>
    </row>
    <row r="396" spans="1:9" x14ac:dyDescent="0.25">
      <c r="A396" t="s">
        <v>418</v>
      </c>
      <c r="B396" s="1">
        <v>45151</v>
      </c>
      <c r="C396" t="s">
        <v>13</v>
      </c>
      <c r="D396" t="s">
        <v>17</v>
      </c>
      <c r="E396" t="s">
        <v>18</v>
      </c>
      <c r="F396">
        <v>226.94</v>
      </c>
      <c r="G396">
        <v>1</v>
      </c>
      <c r="H396">
        <v>62.81</v>
      </c>
      <c r="I396">
        <f>YEAR(SalesData[[#This Row],[Order Date]])</f>
        <v>2023</v>
      </c>
    </row>
    <row r="397" spans="1:9" x14ac:dyDescent="0.25">
      <c r="A397" t="s">
        <v>419</v>
      </c>
      <c r="B397" s="1">
        <v>44821</v>
      </c>
      <c r="C397" t="s">
        <v>20</v>
      </c>
      <c r="D397" t="s">
        <v>10</v>
      </c>
      <c r="E397" t="s">
        <v>11</v>
      </c>
      <c r="F397">
        <v>772.59</v>
      </c>
      <c r="G397">
        <v>10</v>
      </c>
      <c r="H397">
        <v>37.380000000000003</v>
      </c>
      <c r="I397">
        <f>YEAR(SalesData[[#This Row],[Order Date]])</f>
        <v>2022</v>
      </c>
    </row>
    <row r="398" spans="1:9" x14ac:dyDescent="0.25">
      <c r="A398" t="s">
        <v>420</v>
      </c>
      <c r="B398" s="1">
        <v>45148</v>
      </c>
      <c r="C398" t="s">
        <v>9</v>
      </c>
      <c r="D398" t="s">
        <v>17</v>
      </c>
      <c r="E398" t="s">
        <v>62</v>
      </c>
      <c r="F398">
        <v>595.11</v>
      </c>
      <c r="G398">
        <v>10</v>
      </c>
      <c r="H398">
        <v>112.56</v>
      </c>
      <c r="I398">
        <f>YEAR(SalesData[[#This Row],[Order Date]])</f>
        <v>2023</v>
      </c>
    </row>
    <row r="399" spans="1:9" x14ac:dyDescent="0.25">
      <c r="A399" t="s">
        <v>421</v>
      </c>
      <c r="B399" s="1">
        <v>45049</v>
      </c>
      <c r="C399" t="s">
        <v>9</v>
      </c>
      <c r="D399" t="s">
        <v>29</v>
      </c>
      <c r="E399" t="s">
        <v>50</v>
      </c>
      <c r="F399">
        <v>958.55</v>
      </c>
      <c r="G399">
        <v>7</v>
      </c>
      <c r="H399">
        <v>-81.28</v>
      </c>
      <c r="I399">
        <f>YEAR(SalesData[[#This Row],[Order Date]])</f>
        <v>2023</v>
      </c>
    </row>
    <row r="400" spans="1:9" x14ac:dyDescent="0.25">
      <c r="A400" t="s">
        <v>422</v>
      </c>
      <c r="B400" s="1">
        <v>44627</v>
      </c>
      <c r="C400" t="s">
        <v>9</v>
      </c>
      <c r="D400" t="s">
        <v>17</v>
      </c>
      <c r="E400" t="s">
        <v>62</v>
      </c>
      <c r="F400">
        <v>337.57</v>
      </c>
      <c r="G400">
        <v>3</v>
      </c>
      <c r="H400">
        <v>-23.79</v>
      </c>
      <c r="I400">
        <f>YEAR(SalesData[[#This Row],[Order Date]])</f>
        <v>2022</v>
      </c>
    </row>
    <row r="401" spans="1:9" x14ac:dyDescent="0.25">
      <c r="A401" t="s">
        <v>423</v>
      </c>
      <c r="B401" s="1">
        <v>45243</v>
      </c>
      <c r="C401" t="s">
        <v>13</v>
      </c>
      <c r="D401" t="s">
        <v>17</v>
      </c>
      <c r="E401" t="s">
        <v>18</v>
      </c>
      <c r="F401">
        <v>648.29</v>
      </c>
      <c r="G401">
        <v>4</v>
      </c>
      <c r="H401">
        <v>0.84</v>
      </c>
      <c r="I401">
        <f>YEAR(SalesData[[#This Row],[Order Date]])</f>
        <v>2023</v>
      </c>
    </row>
    <row r="402" spans="1:9" x14ac:dyDescent="0.25">
      <c r="A402" t="s">
        <v>424</v>
      </c>
      <c r="B402" s="1">
        <v>44973</v>
      </c>
      <c r="C402" t="s">
        <v>9</v>
      </c>
      <c r="D402" t="s">
        <v>17</v>
      </c>
      <c r="E402" t="s">
        <v>27</v>
      </c>
      <c r="F402">
        <v>889.77</v>
      </c>
      <c r="G402">
        <v>8</v>
      </c>
      <c r="H402">
        <v>109.94</v>
      </c>
      <c r="I402">
        <f>YEAR(SalesData[[#This Row],[Order Date]])</f>
        <v>2023</v>
      </c>
    </row>
    <row r="403" spans="1:9" x14ac:dyDescent="0.25">
      <c r="A403" t="s">
        <v>425</v>
      </c>
      <c r="B403" s="1">
        <v>45064</v>
      </c>
      <c r="C403" t="s">
        <v>16</v>
      </c>
      <c r="D403" t="s">
        <v>29</v>
      </c>
      <c r="E403" t="s">
        <v>50</v>
      </c>
      <c r="F403">
        <v>812.16</v>
      </c>
      <c r="G403">
        <v>2</v>
      </c>
      <c r="H403">
        <v>115.93</v>
      </c>
      <c r="I403">
        <f>YEAR(SalesData[[#This Row],[Order Date]])</f>
        <v>2023</v>
      </c>
    </row>
    <row r="404" spans="1:9" x14ac:dyDescent="0.25">
      <c r="A404" t="s">
        <v>426</v>
      </c>
      <c r="B404" s="1">
        <v>44639</v>
      </c>
      <c r="C404" t="s">
        <v>16</v>
      </c>
      <c r="D404" t="s">
        <v>10</v>
      </c>
      <c r="E404" t="s">
        <v>24</v>
      </c>
      <c r="F404">
        <v>931.56</v>
      </c>
      <c r="G404">
        <v>10</v>
      </c>
      <c r="H404">
        <v>-38.26</v>
      </c>
      <c r="I404">
        <f>YEAR(SalesData[[#This Row],[Order Date]])</f>
        <v>2022</v>
      </c>
    </row>
    <row r="405" spans="1:9" x14ac:dyDescent="0.25">
      <c r="A405" t="s">
        <v>427</v>
      </c>
      <c r="B405" s="1">
        <v>45082</v>
      </c>
      <c r="C405" t="s">
        <v>20</v>
      </c>
      <c r="D405" t="s">
        <v>10</v>
      </c>
      <c r="E405" t="s">
        <v>24</v>
      </c>
      <c r="F405">
        <v>549.28</v>
      </c>
      <c r="G405">
        <v>10</v>
      </c>
      <c r="H405">
        <v>157.79</v>
      </c>
      <c r="I405">
        <f>YEAR(SalesData[[#This Row],[Order Date]])</f>
        <v>2023</v>
      </c>
    </row>
    <row r="406" spans="1:9" x14ac:dyDescent="0.25">
      <c r="A406" t="s">
        <v>428</v>
      </c>
      <c r="B406" s="1">
        <v>44907</v>
      </c>
      <c r="C406" t="s">
        <v>9</v>
      </c>
      <c r="D406" t="s">
        <v>29</v>
      </c>
      <c r="E406" t="s">
        <v>30</v>
      </c>
      <c r="F406">
        <v>757.97</v>
      </c>
      <c r="G406">
        <v>1</v>
      </c>
      <c r="H406">
        <v>-191.58</v>
      </c>
      <c r="I406">
        <f>YEAR(SalesData[[#This Row],[Order Date]])</f>
        <v>2022</v>
      </c>
    </row>
    <row r="407" spans="1:9" x14ac:dyDescent="0.25">
      <c r="A407" t="s">
        <v>429</v>
      </c>
      <c r="B407" s="1">
        <v>44787</v>
      </c>
      <c r="C407" t="s">
        <v>20</v>
      </c>
      <c r="D407" t="s">
        <v>29</v>
      </c>
      <c r="E407" t="s">
        <v>40</v>
      </c>
      <c r="F407">
        <v>933.56</v>
      </c>
      <c r="G407">
        <v>3</v>
      </c>
      <c r="H407">
        <v>79</v>
      </c>
      <c r="I407">
        <f>YEAR(SalesData[[#This Row],[Order Date]])</f>
        <v>2022</v>
      </c>
    </row>
    <row r="408" spans="1:9" x14ac:dyDescent="0.25">
      <c r="A408" t="s">
        <v>430</v>
      </c>
      <c r="B408" s="1">
        <v>44663</v>
      </c>
      <c r="C408" t="s">
        <v>20</v>
      </c>
      <c r="D408" t="s">
        <v>29</v>
      </c>
      <c r="E408" t="s">
        <v>30</v>
      </c>
      <c r="F408">
        <v>733.48</v>
      </c>
      <c r="G408">
        <v>10</v>
      </c>
      <c r="H408">
        <v>-168.09</v>
      </c>
      <c r="I408">
        <f>YEAR(SalesData[[#This Row],[Order Date]])</f>
        <v>2022</v>
      </c>
    </row>
    <row r="409" spans="1:9" x14ac:dyDescent="0.25">
      <c r="A409" t="s">
        <v>431</v>
      </c>
      <c r="B409" s="1">
        <v>45002</v>
      </c>
      <c r="C409" t="s">
        <v>20</v>
      </c>
      <c r="D409" t="s">
        <v>29</v>
      </c>
      <c r="E409" t="s">
        <v>30</v>
      </c>
      <c r="F409">
        <v>31.83</v>
      </c>
      <c r="G409">
        <v>8</v>
      </c>
      <c r="H409">
        <v>109.2</v>
      </c>
      <c r="I409">
        <f>YEAR(SalesData[[#This Row],[Order Date]])</f>
        <v>2023</v>
      </c>
    </row>
    <row r="410" spans="1:9" x14ac:dyDescent="0.25">
      <c r="A410" t="s">
        <v>432</v>
      </c>
      <c r="B410" s="1">
        <v>44851</v>
      </c>
      <c r="C410" t="s">
        <v>13</v>
      </c>
      <c r="D410" t="s">
        <v>10</v>
      </c>
      <c r="E410" t="s">
        <v>14</v>
      </c>
      <c r="F410">
        <v>556.46</v>
      </c>
      <c r="G410">
        <v>3</v>
      </c>
      <c r="H410">
        <v>-85.87</v>
      </c>
      <c r="I410">
        <f>YEAR(SalesData[[#This Row],[Order Date]])</f>
        <v>2022</v>
      </c>
    </row>
    <row r="411" spans="1:9" x14ac:dyDescent="0.25">
      <c r="A411" t="s">
        <v>433</v>
      </c>
      <c r="B411" s="1">
        <v>45032</v>
      </c>
      <c r="C411" t="s">
        <v>20</v>
      </c>
      <c r="D411" t="s">
        <v>10</v>
      </c>
      <c r="E411" t="s">
        <v>11</v>
      </c>
      <c r="F411">
        <v>450.46</v>
      </c>
      <c r="G411">
        <v>6</v>
      </c>
      <c r="H411">
        <v>-167.12</v>
      </c>
      <c r="I411">
        <f>YEAR(SalesData[[#This Row],[Order Date]])</f>
        <v>2023</v>
      </c>
    </row>
    <row r="412" spans="1:9" x14ac:dyDescent="0.25">
      <c r="A412" t="s">
        <v>434</v>
      </c>
      <c r="B412" s="1">
        <v>44763</v>
      </c>
      <c r="C412" t="s">
        <v>9</v>
      </c>
      <c r="D412" t="s">
        <v>17</v>
      </c>
      <c r="E412" t="s">
        <v>62</v>
      </c>
      <c r="F412">
        <v>779.3</v>
      </c>
      <c r="G412">
        <v>5</v>
      </c>
      <c r="H412">
        <v>286.07</v>
      </c>
      <c r="I412">
        <f>YEAR(SalesData[[#This Row],[Order Date]])</f>
        <v>2022</v>
      </c>
    </row>
    <row r="413" spans="1:9" x14ac:dyDescent="0.25">
      <c r="A413" t="s">
        <v>435</v>
      </c>
      <c r="B413" s="1">
        <v>44653</v>
      </c>
      <c r="C413" t="s">
        <v>13</v>
      </c>
      <c r="D413" t="s">
        <v>10</v>
      </c>
      <c r="E413" t="s">
        <v>11</v>
      </c>
      <c r="F413">
        <v>324.88</v>
      </c>
      <c r="G413">
        <v>3</v>
      </c>
      <c r="H413">
        <v>21.31</v>
      </c>
      <c r="I413">
        <f>YEAR(SalesData[[#This Row],[Order Date]])</f>
        <v>2022</v>
      </c>
    </row>
    <row r="414" spans="1:9" x14ac:dyDescent="0.25">
      <c r="A414" t="s">
        <v>436</v>
      </c>
      <c r="B414" s="1">
        <v>45078</v>
      </c>
      <c r="C414" t="s">
        <v>20</v>
      </c>
      <c r="D414" t="s">
        <v>10</v>
      </c>
      <c r="E414" t="s">
        <v>14</v>
      </c>
      <c r="F414">
        <v>279.67</v>
      </c>
      <c r="G414">
        <v>10</v>
      </c>
      <c r="H414">
        <v>32.56</v>
      </c>
      <c r="I414">
        <f>YEAR(SalesData[[#This Row],[Order Date]])</f>
        <v>2023</v>
      </c>
    </row>
    <row r="415" spans="1:9" x14ac:dyDescent="0.25">
      <c r="A415" t="s">
        <v>437</v>
      </c>
      <c r="B415" s="1">
        <v>44894</v>
      </c>
      <c r="C415" t="s">
        <v>9</v>
      </c>
      <c r="D415" t="s">
        <v>17</v>
      </c>
      <c r="E415" t="s">
        <v>18</v>
      </c>
      <c r="F415">
        <v>606.77</v>
      </c>
      <c r="G415">
        <v>5</v>
      </c>
      <c r="H415">
        <v>-105.98</v>
      </c>
      <c r="I415">
        <f>YEAR(SalesData[[#This Row],[Order Date]])</f>
        <v>2022</v>
      </c>
    </row>
    <row r="416" spans="1:9" x14ac:dyDescent="0.25">
      <c r="A416" t="s">
        <v>438</v>
      </c>
      <c r="B416" s="1">
        <v>44974</v>
      </c>
      <c r="C416" t="s">
        <v>13</v>
      </c>
      <c r="D416" t="s">
        <v>10</v>
      </c>
      <c r="E416" t="s">
        <v>11</v>
      </c>
      <c r="F416">
        <v>706.9</v>
      </c>
      <c r="G416">
        <v>8</v>
      </c>
      <c r="H416">
        <v>154.86000000000001</v>
      </c>
      <c r="I416">
        <f>YEAR(SalesData[[#This Row],[Order Date]])</f>
        <v>2023</v>
      </c>
    </row>
    <row r="417" spans="1:9" x14ac:dyDescent="0.25">
      <c r="A417" t="s">
        <v>439</v>
      </c>
      <c r="B417" s="1">
        <v>45081</v>
      </c>
      <c r="C417" t="s">
        <v>20</v>
      </c>
      <c r="D417" t="s">
        <v>17</v>
      </c>
      <c r="E417" t="s">
        <v>27</v>
      </c>
      <c r="F417">
        <v>974.03</v>
      </c>
      <c r="G417">
        <v>9</v>
      </c>
      <c r="H417">
        <v>-71.319999999999993</v>
      </c>
      <c r="I417">
        <f>YEAR(SalesData[[#This Row],[Order Date]])</f>
        <v>2023</v>
      </c>
    </row>
    <row r="418" spans="1:9" x14ac:dyDescent="0.25">
      <c r="A418" t="s">
        <v>440</v>
      </c>
      <c r="B418" s="1">
        <v>45090</v>
      </c>
      <c r="C418" t="s">
        <v>16</v>
      </c>
      <c r="D418" t="s">
        <v>17</v>
      </c>
      <c r="E418" t="s">
        <v>62</v>
      </c>
      <c r="F418">
        <v>181.85</v>
      </c>
      <c r="G418">
        <v>6</v>
      </c>
      <c r="H418">
        <v>251.95</v>
      </c>
      <c r="I418">
        <f>YEAR(SalesData[[#This Row],[Order Date]])</f>
        <v>2023</v>
      </c>
    </row>
    <row r="419" spans="1:9" x14ac:dyDescent="0.25">
      <c r="A419" t="s">
        <v>441</v>
      </c>
      <c r="B419" s="1">
        <v>44738</v>
      </c>
      <c r="C419" t="s">
        <v>20</v>
      </c>
      <c r="D419" t="s">
        <v>17</v>
      </c>
      <c r="E419" t="s">
        <v>27</v>
      </c>
      <c r="F419">
        <v>162.51</v>
      </c>
      <c r="G419">
        <v>1</v>
      </c>
      <c r="H419">
        <v>293.76</v>
      </c>
      <c r="I419">
        <f>YEAR(SalesData[[#This Row],[Order Date]])</f>
        <v>2022</v>
      </c>
    </row>
    <row r="420" spans="1:9" x14ac:dyDescent="0.25">
      <c r="A420" t="s">
        <v>442</v>
      </c>
      <c r="B420" s="1">
        <v>45077</v>
      </c>
      <c r="C420" t="s">
        <v>13</v>
      </c>
      <c r="D420" t="s">
        <v>10</v>
      </c>
      <c r="E420" t="s">
        <v>24</v>
      </c>
      <c r="F420">
        <v>456.87</v>
      </c>
      <c r="G420">
        <v>10</v>
      </c>
      <c r="H420">
        <v>52.42</v>
      </c>
      <c r="I420">
        <f>YEAR(SalesData[[#This Row],[Order Date]])</f>
        <v>2023</v>
      </c>
    </row>
    <row r="421" spans="1:9" x14ac:dyDescent="0.25">
      <c r="A421" t="s">
        <v>443</v>
      </c>
      <c r="B421" s="1">
        <v>45272</v>
      </c>
      <c r="C421" t="s">
        <v>13</v>
      </c>
      <c r="D421" t="s">
        <v>29</v>
      </c>
      <c r="E421" t="s">
        <v>40</v>
      </c>
      <c r="F421">
        <v>914.34</v>
      </c>
      <c r="G421">
        <v>5</v>
      </c>
      <c r="H421">
        <v>294.72000000000003</v>
      </c>
      <c r="I421">
        <f>YEAR(SalesData[[#This Row],[Order Date]])</f>
        <v>2023</v>
      </c>
    </row>
    <row r="422" spans="1:9" x14ac:dyDescent="0.25">
      <c r="A422" t="s">
        <v>444</v>
      </c>
      <c r="B422" s="1">
        <v>45022</v>
      </c>
      <c r="C422" t="s">
        <v>16</v>
      </c>
      <c r="D422" t="s">
        <v>17</v>
      </c>
      <c r="E422" t="s">
        <v>18</v>
      </c>
      <c r="F422">
        <v>179.67</v>
      </c>
      <c r="G422">
        <v>5</v>
      </c>
      <c r="H422">
        <v>-190.14</v>
      </c>
      <c r="I422">
        <f>YEAR(SalesData[[#This Row],[Order Date]])</f>
        <v>2023</v>
      </c>
    </row>
    <row r="423" spans="1:9" x14ac:dyDescent="0.25">
      <c r="A423" t="s">
        <v>445</v>
      </c>
      <c r="B423" s="1">
        <v>44615</v>
      </c>
      <c r="C423" t="s">
        <v>9</v>
      </c>
      <c r="D423" t="s">
        <v>29</v>
      </c>
      <c r="E423" t="s">
        <v>40</v>
      </c>
      <c r="F423">
        <v>887.92</v>
      </c>
      <c r="G423">
        <v>10</v>
      </c>
      <c r="H423">
        <v>60.74</v>
      </c>
      <c r="I423">
        <f>YEAR(SalesData[[#This Row],[Order Date]])</f>
        <v>2022</v>
      </c>
    </row>
    <row r="424" spans="1:9" x14ac:dyDescent="0.25">
      <c r="A424" t="s">
        <v>446</v>
      </c>
      <c r="B424" s="1">
        <v>45076</v>
      </c>
      <c r="C424" t="s">
        <v>13</v>
      </c>
      <c r="D424" t="s">
        <v>29</v>
      </c>
      <c r="E424" t="s">
        <v>50</v>
      </c>
      <c r="F424">
        <v>945.19</v>
      </c>
      <c r="G424">
        <v>5</v>
      </c>
      <c r="H424">
        <v>-148.16</v>
      </c>
      <c r="I424">
        <f>YEAR(SalesData[[#This Row],[Order Date]])</f>
        <v>2023</v>
      </c>
    </row>
    <row r="425" spans="1:9" x14ac:dyDescent="0.25">
      <c r="A425" t="s">
        <v>447</v>
      </c>
      <c r="B425" s="1">
        <v>45188</v>
      </c>
      <c r="C425" t="s">
        <v>16</v>
      </c>
      <c r="D425" t="s">
        <v>17</v>
      </c>
      <c r="E425" t="s">
        <v>18</v>
      </c>
      <c r="F425">
        <v>81.88</v>
      </c>
      <c r="G425">
        <v>9</v>
      </c>
      <c r="H425">
        <v>69.23</v>
      </c>
      <c r="I425">
        <f>YEAR(SalesData[[#This Row],[Order Date]])</f>
        <v>2023</v>
      </c>
    </row>
    <row r="426" spans="1:9" x14ac:dyDescent="0.25">
      <c r="A426" t="s">
        <v>448</v>
      </c>
      <c r="B426" s="1">
        <v>44646</v>
      </c>
      <c r="C426" t="s">
        <v>16</v>
      </c>
      <c r="D426" t="s">
        <v>10</v>
      </c>
      <c r="E426" t="s">
        <v>11</v>
      </c>
      <c r="F426">
        <v>964.57</v>
      </c>
      <c r="G426">
        <v>7</v>
      </c>
      <c r="H426">
        <v>214.81</v>
      </c>
      <c r="I426">
        <f>YEAR(SalesData[[#This Row],[Order Date]])</f>
        <v>2022</v>
      </c>
    </row>
    <row r="427" spans="1:9" x14ac:dyDescent="0.25">
      <c r="A427" t="s">
        <v>449</v>
      </c>
      <c r="B427" s="1">
        <v>45228</v>
      </c>
      <c r="C427" t="s">
        <v>9</v>
      </c>
      <c r="D427" t="s">
        <v>10</v>
      </c>
      <c r="E427" t="s">
        <v>24</v>
      </c>
      <c r="F427">
        <v>515.77</v>
      </c>
      <c r="G427">
        <v>6</v>
      </c>
      <c r="H427">
        <v>234.66</v>
      </c>
      <c r="I427">
        <f>YEAR(SalesData[[#This Row],[Order Date]])</f>
        <v>2023</v>
      </c>
    </row>
    <row r="428" spans="1:9" x14ac:dyDescent="0.25">
      <c r="A428" t="s">
        <v>450</v>
      </c>
      <c r="B428" s="1">
        <v>44840</v>
      </c>
      <c r="C428" t="s">
        <v>20</v>
      </c>
      <c r="D428" t="s">
        <v>29</v>
      </c>
      <c r="E428" t="s">
        <v>40</v>
      </c>
      <c r="F428">
        <v>116.57</v>
      </c>
      <c r="G428">
        <v>4</v>
      </c>
      <c r="H428">
        <v>205.38</v>
      </c>
      <c r="I428">
        <f>YEAR(SalesData[[#This Row],[Order Date]])</f>
        <v>2022</v>
      </c>
    </row>
    <row r="429" spans="1:9" x14ac:dyDescent="0.25">
      <c r="A429" t="s">
        <v>451</v>
      </c>
      <c r="B429" s="1">
        <v>45032</v>
      </c>
      <c r="C429" t="s">
        <v>16</v>
      </c>
      <c r="D429" t="s">
        <v>10</v>
      </c>
      <c r="E429" t="s">
        <v>11</v>
      </c>
      <c r="F429">
        <v>262.24</v>
      </c>
      <c r="G429">
        <v>7</v>
      </c>
      <c r="H429">
        <v>246.13</v>
      </c>
      <c r="I429">
        <f>YEAR(SalesData[[#This Row],[Order Date]])</f>
        <v>2023</v>
      </c>
    </row>
    <row r="430" spans="1:9" x14ac:dyDescent="0.25">
      <c r="A430" t="s">
        <v>452</v>
      </c>
      <c r="B430" s="1">
        <v>44855</v>
      </c>
      <c r="C430" t="s">
        <v>9</v>
      </c>
      <c r="D430" t="s">
        <v>17</v>
      </c>
      <c r="E430" t="s">
        <v>27</v>
      </c>
      <c r="F430">
        <v>920.56</v>
      </c>
      <c r="G430">
        <v>3</v>
      </c>
      <c r="H430">
        <v>21.79</v>
      </c>
      <c r="I430">
        <f>YEAR(SalesData[[#This Row],[Order Date]])</f>
        <v>2022</v>
      </c>
    </row>
    <row r="431" spans="1:9" x14ac:dyDescent="0.25">
      <c r="A431" t="s">
        <v>453</v>
      </c>
      <c r="B431" s="1">
        <v>45037</v>
      </c>
      <c r="C431" t="s">
        <v>13</v>
      </c>
      <c r="D431" t="s">
        <v>29</v>
      </c>
      <c r="E431" t="s">
        <v>30</v>
      </c>
      <c r="F431">
        <v>925.09</v>
      </c>
      <c r="G431">
        <v>2</v>
      </c>
      <c r="H431">
        <v>12.5</v>
      </c>
      <c r="I431">
        <f>YEAR(SalesData[[#This Row],[Order Date]])</f>
        <v>2023</v>
      </c>
    </row>
    <row r="432" spans="1:9" x14ac:dyDescent="0.25">
      <c r="A432" t="s">
        <v>454</v>
      </c>
      <c r="B432" s="1">
        <v>44601</v>
      </c>
      <c r="C432" t="s">
        <v>16</v>
      </c>
      <c r="D432" t="s">
        <v>29</v>
      </c>
      <c r="E432" t="s">
        <v>50</v>
      </c>
      <c r="F432">
        <v>696.88</v>
      </c>
      <c r="G432">
        <v>8</v>
      </c>
      <c r="H432">
        <v>113.29</v>
      </c>
      <c r="I432">
        <f>YEAR(SalesData[[#This Row],[Order Date]])</f>
        <v>2022</v>
      </c>
    </row>
    <row r="433" spans="1:9" x14ac:dyDescent="0.25">
      <c r="A433" t="s">
        <v>455</v>
      </c>
      <c r="B433" s="1">
        <v>45034</v>
      </c>
      <c r="C433" t="s">
        <v>16</v>
      </c>
      <c r="D433" t="s">
        <v>29</v>
      </c>
      <c r="E433" t="s">
        <v>40</v>
      </c>
      <c r="F433">
        <v>599.25</v>
      </c>
      <c r="G433">
        <v>8</v>
      </c>
      <c r="H433">
        <v>235.13</v>
      </c>
      <c r="I433">
        <f>YEAR(SalesData[[#This Row],[Order Date]])</f>
        <v>2023</v>
      </c>
    </row>
    <row r="434" spans="1:9" x14ac:dyDescent="0.25">
      <c r="A434" t="s">
        <v>456</v>
      </c>
      <c r="B434" s="1">
        <v>44763</v>
      </c>
      <c r="C434" t="s">
        <v>9</v>
      </c>
      <c r="D434" t="s">
        <v>17</v>
      </c>
      <c r="E434" t="s">
        <v>27</v>
      </c>
      <c r="F434">
        <v>506.47</v>
      </c>
      <c r="G434">
        <v>10</v>
      </c>
      <c r="H434">
        <v>-8.84</v>
      </c>
      <c r="I434">
        <f>YEAR(SalesData[[#This Row],[Order Date]])</f>
        <v>2022</v>
      </c>
    </row>
    <row r="435" spans="1:9" x14ac:dyDescent="0.25">
      <c r="A435" t="s">
        <v>457</v>
      </c>
      <c r="B435" s="1">
        <v>45179</v>
      </c>
      <c r="C435" t="s">
        <v>16</v>
      </c>
      <c r="D435" t="s">
        <v>17</v>
      </c>
      <c r="E435" t="s">
        <v>62</v>
      </c>
      <c r="F435">
        <v>371.12</v>
      </c>
      <c r="G435">
        <v>9</v>
      </c>
      <c r="H435">
        <v>154.15</v>
      </c>
      <c r="I435">
        <f>YEAR(SalesData[[#This Row],[Order Date]])</f>
        <v>2023</v>
      </c>
    </row>
    <row r="436" spans="1:9" x14ac:dyDescent="0.25">
      <c r="A436" t="s">
        <v>458</v>
      </c>
      <c r="B436" s="1">
        <v>44598</v>
      </c>
      <c r="C436" t="s">
        <v>20</v>
      </c>
      <c r="D436" t="s">
        <v>29</v>
      </c>
      <c r="E436" t="s">
        <v>50</v>
      </c>
      <c r="F436">
        <v>566.30999999999995</v>
      </c>
      <c r="G436">
        <v>8</v>
      </c>
      <c r="H436">
        <v>-42.71</v>
      </c>
      <c r="I436">
        <f>YEAR(SalesData[[#This Row],[Order Date]])</f>
        <v>2022</v>
      </c>
    </row>
    <row r="437" spans="1:9" x14ac:dyDescent="0.25">
      <c r="A437" t="s">
        <v>459</v>
      </c>
      <c r="B437" s="1">
        <v>44627</v>
      </c>
      <c r="C437" t="s">
        <v>9</v>
      </c>
      <c r="D437" t="s">
        <v>10</v>
      </c>
      <c r="E437" t="s">
        <v>24</v>
      </c>
      <c r="F437">
        <v>336.7</v>
      </c>
      <c r="G437">
        <v>1</v>
      </c>
      <c r="H437">
        <v>286.2</v>
      </c>
      <c r="I437">
        <f>YEAR(SalesData[[#This Row],[Order Date]])</f>
        <v>2022</v>
      </c>
    </row>
    <row r="438" spans="1:9" x14ac:dyDescent="0.25">
      <c r="A438" t="s">
        <v>460</v>
      </c>
      <c r="B438" s="1">
        <v>45143</v>
      </c>
      <c r="C438" t="s">
        <v>9</v>
      </c>
      <c r="D438" t="s">
        <v>10</v>
      </c>
      <c r="E438" t="s">
        <v>11</v>
      </c>
      <c r="F438">
        <v>647.54</v>
      </c>
      <c r="G438">
        <v>4</v>
      </c>
      <c r="H438">
        <v>177.82</v>
      </c>
      <c r="I438">
        <f>YEAR(SalesData[[#This Row],[Order Date]])</f>
        <v>2023</v>
      </c>
    </row>
    <row r="439" spans="1:9" x14ac:dyDescent="0.25">
      <c r="A439" t="s">
        <v>461</v>
      </c>
      <c r="B439" s="1">
        <v>44943</v>
      </c>
      <c r="C439" t="s">
        <v>13</v>
      </c>
      <c r="D439" t="s">
        <v>10</v>
      </c>
      <c r="E439" t="s">
        <v>11</v>
      </c>
      <c r="F439">
        <v>63.64</v>
      </c>
      <c r="G439">
        <v>10</v>
      </c>
      <c r="H439">
        <v>151.34</v>
      </c>
      <c r="I439">
        <f>YEAR(SalesData[[#This Row],[Order Date]])</f>
        <v>2023</v>
      </c>
    </row>
    <row r="440" spans="1:9" x14ac:dyDescent="0.25">
      <c r="A440" t="s">
        <v>462</v>
      </c>
      <c r="B440" s="1">
        <v>45210</v>
      </c>
      <c r="C440" t="s">
        <v>20</v>
      </c>
      <c r="D440" t="s">
        <v>17</v>
      </c>
      <c r="E440" t="s">
        <v>62</v>
      </c>
      <c r="F440">
        <v>687.74</v>
      </c>
      <c r="G440">
        <v>4</v>
      </c>
      <c r="H440">
        <v>-39.409999999999997</v>
      </c>
      <c r="I440">
        <f>YEAR(SalesData[[#This Row],[Order Date]])</f>
        <v>2023</v>
      </c>
    </row>
    <row r="441" spans="1:9" x14ac:dyDescent="0.25">
      <c r="A441" t="s">
        <v>463</v>
      </c>
      <c r="B441" s="1">
        <v>45237</v>
      </c>
      <c r="C441" t="s">
        <v>16</v>
      </c>
      <c r="D441" t="s">
        <v>10</v>
      </c>
      <c r="E441" t="s">
        <v>14</v>
      </c>
      <c r="F441">
        <v>852.71</v>
      </c>
      <c r="G441">
        <v>8</v>
      </c>
      <c r="H441">
        <v>-54.38</v>
      </c>
      <c r="I441">
        <f>YEAR(SalesData[[#This Row],[Order Date]])</f>
        <v>2023</v>
      </c>
    </row>
    <row r="442" spans="1:9" x14ac:dyDescent="0.25">
      <c r="A442" t="s">
        <v>464</v>
      </c>
      <c r="B442" s="1">
        <v>44910</v>
      </c>
      <c r="C442" t="s">
        <v>13</v>
      </c>
      <c r="D442" t="s">
        <v>10</v>
      </c>
      <c r="E442" t="s">
        <v>14</v>
      </c>
      <c r="F442">
        <v>413.88</v>
      </c>
      <c r="G442">
        <v>5</v>
      </c>
      <c r="H442">
        <v>183.04</v>
      </c>
      <c r="I442">
        <f>YEAR(SalesData[[#This Row],[Order Date]])</f>
        <v>2022</v>
      </c>
    </row>
    <row r="443" spans="1:9" x14ac:dyDescent="0.25">
      <c r="A443" t="s">
        <v>465</v>
      </c>
      <c r="B443" s="1">
        <v>44674</v>
      </c>
      <c r="C443" t="s">
        <v>16</v>
      </c>
      <c r="D443" t="s">
        <v>10</v>
      </c>
      <c r="E443" t="s">
        <v>14</v>
      </c>
      <c r="F443">
        <v>421.56</v>
      </c>
      <c r="G443">
        <v>10</v>
      </c>
      <c r="H443">
        <v>68.849999999999994</v>
      </c>
      <c r="I443">
        <f>YEAR(SalesData[[#This Row],[Order Date]])</f>
        <v>2022</v>
      </c>
    </row>
    <row r="444" spans="1:9" x14ac:dyDescent="0.25">
      <c r="A444" t="s">
        <v>466</v>
      </c>
      <c r="B444" s="1">
        <v>44982</v>
      </c>
      <c r="C444" t="s">
        <v>20</v>
      </c>
      <c r="D444" t="s">
        <v>29</v>
      </c>
      <c r="E444" t="s">
        <v>50</v>
      </c>
      <c r="F444">
        <v>130.07</v>
      </c>
      <c r="G444">
        <v>7</v>
      </c>
      <c r="H444">
        <v>256.58999999999997</v>
      </c>
      <c r="I444">
        <f>YEAR(SalesData[[#This Row],[Order Date]])</f>
        <v>2023</v>
      </c>
    </row>
    <row r="445" spans="1:9" x14ac:dyDescent="0.25">
      <c r="A445" t="s">
        <v>467</v>
      </c>
      <c r="B445" s="1">
        <v>45123</v>
      </c>
      <c r="C445" t="s">
        <v>13</v>
      </c>
      <c r="D445" t="s">
        <v>17</v>
      </c>
      <c r="E445" t="s">
        <v>27</v>
      </c>
      <c r="F445">
        <v>57.7</v>
      </c>
      <c r="G445">
        <v>3</v>
      </c>
      <c r="H445">
        <v>-33.21</v>
      </c>
      <c r="I445">
        <f>YEAR(SalesData[[#This Row],[Order Date]])</f>
        <v>2023</v>
      </c>
    </row>
    <row r="446" spans="1:9" x14ac:dyDescent="0.25">
      <c r="A446" t="s">
        <v>468</v>
      </c>
      <c r="B446" s="1">
        <v>45158</v>
      </c>
      <c r="C446" t="s">
        <v>20</v>
      </c>
      <c r="D446" t="s">
        <v>17</v>
      </c>
      <c r="E446" t="s">
        <v>27</v>
      </c>
      <c r="F446">
        <v>806.54</v>
      </c>
      <c r="G446">
        <v>10</v>
      </c>
      <c r="H446">
        <v>141.44</v>
      </c>
      <c r="I446">
        <f>YEAR(SalesData[[#This Row],[Order Date]])</f>
        <v>2023</v>
      </c>
    </row>
    <row r="447" spans="1:9" x14ac:dyDescent="0.25">
      <c r="A447" t="s">
        <v>469</v>
      </c>
      <c r="B447" s="1">
        <v>45076</v>
      </c>
      <c r="C447" t="s">
        <v>9</v>
      </c>
      <c r="D447" t="s">
        <v>17</v>
      </c>
      <c r="E447" t="s">
        <v>62</v>
      </c>
      <c r="F447">
        <v>319.81</v>
      </c>
      <c r="G447">
        <v>2</v>
      </c>
      <c r="H447">
        <v>-162.41</v>
      </c>
      <c r="I447">
        <f>YEAR(SalesData[[#This Row],[Order Date]])</f>
        <v>2023</v>
      </c>
    </row>
    <row r="448" spans="1:9" x14ac:dyDescent="0.25">
      <c r="A448" t="s">
        <v>470</v>
      </c>
      <c r="B448" s="1">
        <v>45268</v>
      </c>
      <c r="C448" t="s">
        <v>20</v>
      </c>
      <c r="D448" t="s">
        <v>29</v>
      </c>
      <c r="E448" t="s">
        <v>50</v>
      </c>
      <c r="F448">
        <v>39.950000000000003</v>
      </c>
      <c r="G448">
        <v>9</v>
      </c>
      <c r="H448">
        <v>238.5</v>
      </c>
      <c r="I448">
        <f>YEAR(SalesData[[#This Row],[Order Date]])</f>
        <v>2023</v>
      </c>
    </row>
    <row r="449" spans="1:9" x14ac:dyDescent="0.25">
      <c r="A449" t="s">
        <v>471</v>
      </c>
      <c r="B449" s="1">
        <v>44869</v>
      </c>
      <c r="C449" t="s">
        <v>9</v>
      </c>
      <c r="D449" t="s">
        <v>10</v>
      </c>
      <c r="E449" t="s">
        <v>11</v>
      </c>
      <c r="F449">
        <v>384.88</v>
      </c>
      <c r="G449">
        <v>10</v>
      </c>
      <c r="H449">
        <v>-76.72</v>
      </c>
      <c r="I449">
        <f>YEAR(SalesData[[#This Row],[Order Date]])</f>
        <v>2022</v>
      </c>
    </row>
    <row r="450" spans="1:9" x14ac:dyDescent="0.25">
      <c r="A450" t="s">
        <v>472</v>
      </c>
      <c r="B450" s="1">
        <v>45032</v>
      </c>
      <c r="C450" t="s">
        <v>16</v>
      </c>
      <c r="D450" t="s">
        <v>10</v>
      </c>
      <c r="E450" t="s">
        <v>11</v>
      </c>
      <c r="F450">
        <v>573.05999999999995</v>
      </c>
      <c r="G450">
        <v>8</v>
      </c>
      <c r="H450">
        <v>-181.08</v>
      </c>
      <c r="I450">
        <f>YEAR(SalesData[[#This Row],[Order Date]])</f>
        <v>2023</v>
      </c>
    </row>
    <row r="451" spans="1:9" x14ac:dyDescent="0.25">
      <c r="A451" t="s">
        <v>473</v>
      </c>
      <c r="B451" s="1">
        <v>44944</v>
      </c>
      <c r="C451" t="s">
        <v>16</v>
      </c>
      <c r="D451" t="s">
        <v>10</v>
      </c>
      <c r="E451" t="s">
        <v>24</v>
      </c>
      <c r="F451">
        <v>216.31</v>
      </c>
      <c r="G451">
        <v>5</v>
      </c>
      <c r="H451">
        <v>91.34</v>
      </c>
      <c r="I451">
        <f>YEAR(SalesData[[#This Row],[Order Date]])</f>
        <v>2023</v>
      </c>
    </row>
    <row r="452" spans="1:9" x14ac:dyDescent="0.25">
      <c r="A452" t="s">
        <v>474</v>
      </c>
      <c r="B452" s="1">
        <v>45122</v>
      </c>
      <c r="C452" t="s">
        <v>9</v>
      </c>
      <c r="D452" t="s">
        <v>17</v>
      </c>
      <c r="E452" t="s">
        <v>18</v>
      </c>
      <c r="F452">
        <v>231.14</v>
      </c>
      <c r="G452">
        <v>5</v>
      </c>
      <c r="H452">
        <v>-63</v>
      </c>
      <c r="I452">
        <f>YEAR(SalesData[[#This Row],[Order Date]])</f>
        <v>2023</v>
      </c>
    </row>
    <row r="453" spans="1:9" x14ac:dyDescent="0.25">
      <c r="A453" t="s">
        <v>475</v>
      </c>
      <c r="B453" s="1">
        <v>44952</v>
      </c>
      <c r="C453" t="s">
        <v>13</v>
      </c>
      <c r="D453" t="s">
        <v>10</v>
      </c>
      <c r="E453" t="s">
        <v>11</v>
      </c>
      <c r="F453">
        <v>621.92999999999995</v>
      </c>
      <c r="G453">
        <v>5</v>
      </c>
      <c r="H453">
        <v>109.05</v>
      </c>
      <c r="I453">
        <f>YEAR(SalesData[[#This Row],[Order Date]])</f>
        <v>2023</v>
      </c>
    </row>
    <row r="454" spans="1:9" x14ac:dyDescent="0.25">
      <c r="A454" t="s">
        <v>476</v>
      </c>
      <c r="B454" s="1">
        <v>44586</v>
      </c>
      <c r="C454" t="s">
        <v>9</v>
      </c>
      <c r="D454" t="s">
        <v>17</v>
      </c>
      <c r="E454" t="s">
        <v>18</v>
      </c>
      <c r="F454">
        <v>474.47</v>
      </c>
      <c r="G454">
        <v>6</v>
      </c>
      <c r="H454">
        <v>68.3</v>
      </c>
      <c r="I454">
        <f>YEAR(SalesData[[#This Row],[Order Date]])</f>
        <v>2022</v>
      </c>
    </row>
    <row r="455" spans="1:9" x14ac:dyDescent="0.25">
      <c r="A455" t="s">
        <v>477</v>
      </c>
      <c r="B455" s="1">
        <v>45133</v>
      </c>
      <c r="C455" t="s">
        <v>13</v>
      </c>
      <c r="D455" t="s">
        <v>17</v>
      </c>
      <c r="E455" t="s">
        <v>62</v>
      </c>
      <c r="F455">
        <v>447.54</v>
      </c>
      <c r="G455">
        <v>9</v>
      </c>
      <c r="H455">
        <v>71.19</v>
      </c>
      <c r="I455">
        <f>YEAR(SalesData[[#This Row],[Order Date]])</f>
        <v>2023</v>
      </c>
    </row>
    <row r="456" spans="1:9" x14ac:dyDescent="0.25">
      <c r="A456" t="s">
        <v>478</v>
      </c>
      <c r="B456" s="1">
        <v>44858</v>
      </c>
      <c r="C456" t="s">
        <v>20</v>
      </c>
      <c r="D456" t="s">
        <v>10</v>
      </c>
      <c r="E456" t="s">
        <v>24</v>
      </c>
      <c r="F456">
        <v>956.24</v>
      </c>
      <c r="G456">
        <v>6</v>
      </c>
      <c r="H456">
        <v>91.87</v>
      </c>
      <c r="I456">
        <f>YEAR(SalesData[[#This Row],[Order Date]])</f>
        <v>2022</v>
      </c>
    </row>
    <row r="457" spans="1:9" x14ac:dyDescent="0.25">
      <c r="A457" t="s">
        <v>479</v>
      </c>
      <c r="B457" s="1">
        <v>45029</v>
      </c>
      <c r="C457" t="s">
        <v>13</v>
      </c>
      <c r="D457" t="s">
        <v>29</v>
      </c>
      <c r="E457" t="s">
        <v>50</v>
      </c>
      <c r="F457">
        <v>702.05</v>
      </c>
      <c r="G457">
        <v>8</v>
      </c>
      <c r="H457">
        <v>171.78</v>
      </c>
      <c r="I457">
        <f>YEAR(SalesData[[#This Row],[Order Date]])</f>
        <v>2023</v>
      </c>
    </row>
    <row r="458" spans="1:9" x14ac:dyDescent="0.25">
      <c r="A458" t="s">
        <v>480</v>
      </c>
      <c r="B458" s="1">
        <v>44939</v>
      </c>
      <c r="C458" t="s">
        <v>9</v>
      </c>
      <c r="D458" t="s">
        <v>17</v>
      </c>
      <c r="E458" t="s">
        <v>27</v>
      </c>
      <c r="F458">
        <v>209.95</v>
      </c>
      <c r="G458">
        <v>5</v>
      </c>
      <c r="H458">
        <v>202.55</v>
      </c>
      <c r="I458">
        <f>YEAR(SalesData[[#This Row],[Order Date]])</f>
        <v>2023</v>
      </c>
    </row>
    <row r="459" spans="1:9" x14ac:dyDescent="0.25">
      <c r="A459" t="s">
        <v>481</v>
      </c>
      <c r="B459" s="1">
        <v>45257</v>
      </c>
      <c r="C459" t="s">
        <v>13</v>
      </c>
      <c r="D459" t="s">
        <v>29</v>
      </c>
      <c r="E459" t="s">
        <v>40</v>
      </c>
      <c r="F459">
        <v>245.29</v>
      </c>
      <c r="G459">
        <v>10</v>
      </c>
      <c r="H459">
        <v>-56.15</v>
      </c>
      <c r="I459">
        <f>YEAR(SalesData[[#This Row],[Order Date]])</f>
        <v>2023</v>
      </c>
    </row>
    <row r="460" spans="1:9" x14ac:dyDescent="0.25">
      <c r="A460" t="s">
        <v>482</v>
      </c>
      <c r="B460" s="1">
        <v>45256</v>
      </c>
      <c r="C460" t="s">
        <v>16</v>
      </c>
      <c r="D460" t="s">
        <v>29</v>
      </c>
      <c r="E460" t="s">
        <v>50</v>
      </c>
      <c r="F460">
        <v>106.11</v>
      </c>
      <c r="G460">
        <v>1</v>
      </c>
      <c r="H460">
        <v>97.81</v>
      </c>
      <c r="I460">
        <f>YEAR(SalesData[[#This Row],[Order Date]])</f>
        <v>2023</v>
      </c>
    </row>
    <row r="461" spans="1:9" x14ac:dyDescent="0.25">
      <c r="A461" t="s">
        <v>483</v>
      </c>
      <c r="B461" s="1">
        <v>44933</v>
      </c>
      <c r="C461" t="s">
        <v>13</v>
      </c>
      <c r="D461" t="s">
        <v>29</v>
      </c>
      <c r="E461" t="s">
        <v>30</v>
      </c>
      <c r="F461">
        <v>116.49</v>
      </c>
      <c r="G461">
        <v>6</v>
      </c>
      <c r="H461">
        <v>114.72</v>
      </c>
      <c r="I461">
        <f>YEAR(SalesData[[#This Row],[Order Date]])</f>
        <v>2023</v>
      </c>
    </row>
    <row r="462" spans="1:9" x14ac:dyDescent="0.25">
      <c r="A462" t="s">
        <v>484</v>
      </c>
      <c r="B462" s="1">
        <v>44968</v>
      </c>
      <c r="C462" t="s">
        <v>20</v>
      </c>
      <c r="D462" t="s">
        <v>29</v>
      </c>
      <c r="E462" t="s">
        <v>50</v>
      </c>
      <c r="F462">
        <v>898</v>
      </c>
      <c r="G462">
        <v>5</v>
      </c>
      <c r="H462">
        <v>-83.14</v>
      </c>
      <c r="I462">
        <f>YEAR(SalesData[[#This Row],[Order Date]])</f>
        <v>2023</v>
      </c>
    </row>
    <row r="463" spans="1:9" x14ac:dyDescent="0.25">
      <c r="A463" t="s">
        <v>485</v>
      </c>
      <c r="B463" s="1">
        <v>45029</v>
      </c>
      <c r="C463" t="s">
        <v>16</v>
      </c>
      <c r="D463" t="s">
        <v>17</v>
      </c>
      <c r="E463" t="s">
        <v>27</v>
      </c>
      <c r="F463">
        <v>920.87</v>
      </c>
      <c r="G463">
        <v>5</v>
      </c>
      <c r="H463">
        <v>101.97</v>
      </c>
      <c r="I463">
        <f>YEAR(SalesData[[#This Row],[Order Date]])</f>
        <v>2023</v>
      </c>
    </row>
    <row r="464" spans="1:9" x14ac:dyDescent="0.25">
      <c r="A464" t="s">
        <v>486</v>
      </c>
      <c r="B464" s="1">
        <v>44841</v>
      </c>
      <c r="C464" t="s">
        <v>16</v>
      </c>
      <c r="D464" t="s">
        <v>17</v>
      </c>
      <c r="E464" t="s">
        <v>18</v>
      </c>
      <c r="F464">
        <v>834.02</v>
      </c>
      <c r="G464">
        <v>5</v>
      </c>
      <c r="H464">
        <v>-65.069999999999993</v>
      </c>
      <c r="I464">
        <f>YEAR(SalesData[[#This Row],[Order Date]])</f>
        <v>2022</v>
      </c>
    </row>
    <row r="465" spans="1:9" x14ac:dyDescent="0.25">
      <c r="A465" t="s">
        <v>487</v>
      </c>
      <c r="B465" s="1">
        <v>45089</v>
      </c>
      <c r="C465" t="s">
        <v>16</v>
      </c>
      <c r="D465" t="s">
        <v>10</v>
      </c>
      <c r="E465" t="s">
        <v>14</v>
      </c>
      <c r="F465">
        <v>252.5</v>
      </c>
      <c r="G465">
        <v>2</v>
      </c>
      <c r="H465">
        <v>95.41</v>
      </c>
      <c r="I465">
        <f>YEAR(SalesData[[#This Row],[Order Date]])</f>
        <v>2023</v>
      </c>
    </row>
    <row r="466" spans="1:9" x14ac:dyDescent="0.25">
      <c r="A466" t="s">
        <v>488</v>
      </c>
      <c r="B466" s="1">
        <v>44584</v>
      </c>
      <c r="C466" t="s">
        <v>13</v>
      </c>
      <c r="D466" t="s">
        <v>17</v>
      </c>
      <c r="E466" t="s">
        <v>62</v>
      </c>
      <c r="F466">
        <v>77.790000000000006</v>
      </c>
      <c r="G466">
        <v>2</v>
      </c>
      <c r="H466">
        <v>284.2</v>
      </c>
      <c r="I466">
        <f>YEAR(SalesData[[#This Row],[Order Date]])</f>
        <v>2022</v>
      </c>
    </row>
    <row r="467" spans="1:9" x14ac:dyDescent="0.25">
      <c r="A467" t="s">
        <v>489</v>
      </c>
      <c r="B467" s="1">
        <v>44667</v>
      </c>
      <c r="C467" t="s">
        <v>13</v>
      </c>
      <c r="D467" t="s">
        <v>29</v>
      </c>
      <c r="E467" t="s">
        <v>50</v>
      </c>
      <c r="F467">
        <v>964.5</v>
      </c>
      <c r="G467">
        <v>8</v>
      </c>
      <c r="H467">
        <v>-162.47</v>
      </c>
      <c r="I467">
        <f>YEAR(SalesData[[#This Row],[Order Date]])</f>
        <v>2022</v>
      </c>
    </row>
    <row r="468" spans="1:9" x14ac:dyDescent="0.25">
      <c r="A468" t="s">
        <v>490</v>
      </c>
      <c r="B468" s="1">
        <v>45270</v>
      </c>
      <c r="C468" t="s">
        <v>9</v>
      </c>
      <c r="D468" t="s">
        <v>29</v>
      </c>
      <c r="E468" t="s">
        <v>50</v>
      </c>
      <c r="F468">
        <v>720.13</v>
      </c>
      <c r="G468">
        <v>3</v>
      </c>
      <c r="H468">
        <v>7.38</v>
      </c>
      <c r="I468">
        <f>YEAR(SalesData[[#This Row],[Order Date]])</f>
        <v>2023</v>
      </c>
    </row>
    <row r="469" spans="1:9" x14ac:dyDescent="0.25">
      <c r="A469" t="s">
        <v>491</v>
      </c>
      <c r="B469" s="1">
        <v>44655</v>
      </c>
      <c r="C469" t="s">
        <v>16</v>
      </c>
      <c r="D469" t="s">
        <v>17</v>
      </c>
      <c r="E469" t="s">
        <v>18</v>
      </c>
      <c r="F469">
        <v>448.04</v>
      </c>
      <c r="G469">
        <v>9</v>
      </c>
      <c r="H469">
        <v>280.05</v>
      </c>
      <c r="I469">
        <f>YEAR(SalesData[[#This Row],[Order Date]])</f>
        <v>2022</v>
      </c>
    </row>
    <row r="470" spans="1:9" x14ac:dyDescent="0.25">
      <c r="A470" t="s">
        <v>492</v>
      </c>
      <c r="B470" s="1">
        <v>44576</v>
      </c>
      <c r="C470" t="s">
        <v>20</v>
      </c>
      <c r="D470" t="s">
        <v>10</v>
      </c>
      <c r="E470" t="s">
        <v>14</v>
      </c>
      <c r="F470">
        <v>107.99</v>
      </c>
      <c r="G470">
        <v>5</v>
      </c>
      <c r="H470">
        <v>250.59</v>
      </c>
      <c r="I470">
        <f>YEAR(SalesData[[#This Row],[Order Date]])</f>
        <v>2022</v>
      </c>
    </row>
    <row r="471" spans="1:9" x14ac:dyDescent="0.25">
      <c r="A471" t="s">
        <v>493</v>
      </c>
      <c r="B471" s="1">
        <v>44799</v>
      </c>
      <c r="C471" t="s">
        <v>13</v>
      </c>
      <c r="D471" t="s">
        <v>17</v>
      </c>
      <c r="E471" t="s">
        <v>27</v>
      </c>
      <c r="F471">
        <v>566.54</v>
      </c>
      <c r="G471">
        <v>10</v>
      </c>
      <c r="H471">
        <v>-61.61</v>
      </c>
      <c r="I471">
        <f>YEAR(SalesData[[#This Row],[Order Date]])</f>
        <v>2022</v>
      </c>
    </row>
    <row r="472" spans="1:9" x14ac:dyDescent="0.25">
      <c r="A472" t="s">
        <v>494</v>
      </c>
      <c r="B472" s="1">
        <v>44678</v>
      </c>
      <c r="C472" t="s">
        <v>9</v>
      </c>
      <c r="D472" t="s">
        <v>29</v>
      </c>
      <c r="E472" t="s">
        <v>40</v>
      </c>
      <c r="F472">
        <v>662.91</v>
      </c>
      <c r="G472">
        <v>7</v>
      </c>
      <c r="H472">
        <v>106.26</v>
      </c>
      <c r="I472">
        <f>YEAR(SalesData[[#This Row],[Order Date]])</f>
        <v>2022</v>
      </c>
    </row>
    <row r="473" spans="1:9" x14ac:dyDescent="0.25">
      <c r="A473" t="s">
        <v>495</v>
      </c>
      <c r="B473" s="1">
        <v>44855</v>
      </c>
      <c r="C473" t="s">
        <v>20</v>
      </c>
      <c r="D473" t="s">
        <v>10</v>
      </c>
      <c r="E473" t="s">
        <v>24</v>
      </c>
      <c r="F473">
        <v>341.33</v>
      </c>
      <c r="G473">
        <v>1</v>
      </c>
      <c r="H473">
        <v>-124.96</v>
      </c>
      <c r="I473">
        <f>YEAR(SalesData[[#This Row],[Order Date]])</f>
        <v>2022</v>
      </c>
    </row>
    <row r="474" spans="1:9" x14ac:dyDescent="0.25">
      <c r="A474" t="s">
        <v>496</v>
      </c>
      <c r="B474" s="1">
        <v>45028</v>
      </c>
      <c r="C474" t="s">
        <v>16</v>
      </c>
      <c r="D474" t="s">
        <v>10</v>
      </c>
      <c r="E474" t="s">
        <v>11</v>
      </c>
      <c r="F474">
        <v>502.77</v>
      </c>
      <c r="G474">
        <v>9</v>
      </c>
      <c r="H474">
        <v>-37.43</v>
      </c>
      <c r="I474">
        <f>YEAR(SalesData[[#This Row],[Order Date]])</f>
        <v>2023</v>
      </c>
    </row>
    <row r="475" spans="1:9" x14ac:dyDescent="0.25">
      <c r="A475" t="s">
        <v>497</v>
      </c>
      <c r="B475" s="1">
        <v>44819</v>
      </c>
      <c r="C475" t="s">
        <v>9</v>
      </c>
      <c r="D475" t="s">
        <v>10</v>
      </c>
      <c r="E475" t="s">
        <v>14</v>
      </c>
      <c r="F475">
        <v>284.13</v>
      </c>
      <c r="G475">
        <v>9</v>
      </c>
      <c r="H475">
        <v>-30.78</v>
      </c>
      <c r="I475">
        <f>YEAR(SalesData[[#This Row],[Order Date]])</f>
        <v>2022</v>
      </c>
    </row>
    <row r="476" spans="1:9" x14ac:dyDescent="0.25">
      <c r="A476" t="s">
        <v>498</v>
      </c>
      <c r="B476" s="1">
        <v>45158</v>
      </c>
      <c r="C476" t="s">
        <v>16</v>
      </c>
      <c r="D476" t="s">
        <v>10</v>
      </c>
      <c r="E476" t="s">
        <v>14</v>
      </c>
      <c r="F476">
        <v>529.11</v>
      </c>
      <c r="G476">
        <v>10</v>
      </c>
      <c r="H476">
        <v>261.89</v>
      </c>
      <c r="I476">
        <f>YEAR(SalesData[[#This Row],[Order Date]])</f>
        <v>2023</v>
      </c>
    </row>
    <row r="477" spans="1:9" x14ac:dyDescent="0.25">
      <c r="A477" t="s">
        <v>499</v>
      </c>
      <c r="B477" s="1">
        <v>44832</v>
      </c>
      <c r="C477" t="s">
        <v>9</v>
      </c>
      <c r="D477" t="s">
        <v>29</v>
      </c>
      <c r="E477" t="s">
        <v>40</v>
      </c>
      <c r="F477">
        <v>801.33</v>
      </c>
      <c r="G477">
        <v>10</v>
      </c>
      <c r="H477">
        <v>0.09</v>
      </c>
      <c r="I477">
        <f>YEAR(SalesData[[#This Row],[Order Date]])</f>
        <v>2022</v>
      </c>
    </row>
    <row r="478" spans="1:9" x14ac:dyDescent="0.25">
      <c r="A478" t="s">
        <v>500</v>
      </c>
      <c r="B478" s="1">
        <v>44909</v>
      </c>
      <c r="C478" t="s">
        <v>13</v>
      </c>
      <c r="D478" t="s">
        <v>17</v>
      </c>
      <c r="E478" t="s">
        <v>62</v>
      </c>
      <c r="F478">
        <v>828.63</v>
      </c>
      <c r="G478">
        <v>3</v>
      </c>
      <c r="H478">
        <v>190.77</v>
      </c>
      <c r="I478">
        <f>YEAR(SalesData[[#This Row],[Order Date]])</f>
        <v>2022</v>
      </c>
    </row>
    <row r="479" spans="1:9" x14ac:dyDescent="0.25">
      <c r="A479" t="s">
        <v>501</v>
      </c>
      <c r="B479" s="1">
        <v>45095</v>
      </c>
      <c r="C479" t="s">
        <v>20</v>
      </c>
      <c r="D479" t="s">
        <v>10</v>
      </c>
      <c r="E479" t="s">
        <v>14</v>
      </c>
      <c r="F479">
        <v>507.43</v>
      </c>
      <c r="G479">
        <v>6</v>
      </c>
      <c r="H479">
        <v>134.84</v>
      </c>
      <c r="I479">
        <f>YEAR(SalesData[[#This Row],[Order Date]])</f>
        <v>2023</v>
      </c>
    </row>
    <row r="480" spans="1:9" x14ac:dyDescent="0.25">
      <c r="A480" t="s">
        <v>502</v>
      </c>
      <c r="B480" s="1">
        <v>45277</v>
      </c>
      <c r="C480" t="s">
        <v>16</v>
      </c>
      <c r="D480" t="s">
        <v>10</v>
      </c>
      <c r="E480" t="s">
        <v>24</v>
      </c>
      <c r="F480">
        <v>124.42</v>
      </c>
      <c r="G480">
        <v>9</v>
      </c>
      <c r="H480">
        <v>285.64999999999998</v>
      </c>
      <c r="I480">
        <f>YEAR(SalesData[[#This Row],[Order Date]])</f>
        <v>2023</v>
      </c>
    </row>
    <row r="481" spans="1:9" x14ac:dyDescent="0.25">
      <c r="A481" t="s">
        <v>503</v>
      </c>
      <c r="B481" s="1">
        <v>45166</v>
      </c>
      <c r="C481" t="s">
        <v>20</v>
      </c>
      <c r="D481" t="s">
        <v>10</v>
      </c>
      <c r="E481" t="s">
        <v>11</v>
      </c>
      <c r="F481">
        <v>643.37</v>
      </c>
      <c r="G481">
        <v>2</v>
      </c>
      <c r="H481">
        <v>-142.66</v>
      </c>
      <c r="I481">
        <f>YEAR(SalesData[[#This Row],[Order Date]])</f>
        <v>2023</v>
      </c>
    </row>
    <row r="482" spans="1:9" x14ac:dyDescent="0.25">
      <c r="A482" t="s">
        <v>504</v>
      </c>
      <c r="B482" s="1">
        <v>45202</v>
      </c>
      <c r="C482" t="s">
        <v>16</v>
      </c>
      <c r="D482" t="s">
        <v>29</v>
      </c>
      <c r="E482" t="s">
        <v>50</v>
      </c>
      <c r="F482">
        <v>238.33</v>
      </c>
      <c r="G482">
        <v>8</v>
      </c>
      <c r="H482">
        <v>106.3</v>
      </c>
      <c r="I482">
        <f>YEAR(SalesData[[#This Row],[Order Date]])</f>
        <v>2023</v>
      </c>
    </row>
    <row r="483" spans="1:9" x14ac:dyDescent="0.25">
      <c r="A483" t="s">
        <v>505</v>
      </c>
      <c r="B483" s="1">
        <v>45265</v>
      </c>
      <c r="C483" t="s">
        <v>20</v>
      </c>
      <c r="D483" t="s">
        <v>10</v>
      </c>
      <c r="E483" t="s">
        <v>14</v>
      </c>
      <c r="F483">
        <v>523.84</v>
      </c>
      <c r="G483">
        <v>1</v>
      </c>
      <c r="H483">
        <v>-34.299999999999997</v>
      </c>
      <c r="I483">
        <f>YEAR(SalesData[[#This Row],[Order Date]])</f>
        <v>2023</v>
      </c>
    </row>
    <row r="484" spans="1:9" x14ac:dyDescent="0.25">
      <c r="A484" t="s">
        <v>506</v>
      </c>
      <c r="B484" s="1">
        <v>44743</v>
      </c>
      <c r="C484" t="s">
        <v>9</v>
      </c>
      <c r="D484" t="s">
        <v>29</v>
      </c>
      <c r="E484" t="s">
        <v>30</v>
      </c>
      <c r="F484">
        <v>219.64</v>
      </c>
      <c r="G484">
        <v>9</v>
      </c>
      <c r="H484">
        <v>214.71</v>
      </c>
      <c r="I484">
        <f>YEAR(SalesData[[#This Row],[Order Date]])</f>
        <v>2022</v>
      </c>
    </row>
    <row r="485" spans="1:9" x14ac:dyDescent="0.25">
      <c r="A485" t="s">
        <v>507</v>
      </c>
      <c r="B485" s="1">
        <v>45151</v>
      </c>
      <c r="C485" t="s">
        <v>9</v>
      </c>
      <c r="D485" t="s">
        <v>17</v>
      </c>
      <c r="E485" t="s">
        <v>18</v>
      </c>
      <c r="F485">
        <v>292.23</v>
      </c>
      <c r="G485">
        <v>6</v>
      </c>
      <c r="H485">
        <v>262.29000000000002</v>
      </c>
      <c r="I485">
        <f>YEAR(SalesData[[#This Row],[Order Date]])</f>
        <v>2023</v>
      </c>
    </row>
    <row r="486" spans="1:9" x14ac:dyDescent="0.25">
      <c r="A486" t="s">
        <v>508</v>
      </c>
      <c r="B486" s="1">
        <v>45124</v>
      </c>
      <c r="C486" t="s">
        <v>9</v>
      </c>
      <c r="D486" t="s">
        <v>29</v>
      </c>
      <c r="E486" t="s">
        <v>50</v>
      </c>
      <c r="F486">
        <v>879.05</v>
      </c>
      <c r="G486">
        <v>2</v>
      </c>
      <c r="H486">
        <v>-165.98</v>
      </c>
      <c r="I486">
        <f>YEAR(SalesData[[#This Row],[Order Date]])</f>
        <v>2023</v>
      </c>
    </row>
    <row r="487" spans="1:9" x14ac:dyDescent="0.25">
      <c r="A487" t="s">
        <v>509</v>
      </c>
      <c r="B487" s="1">
        <v>44961</v>
      </c>
      <c r="C487" t="s">
        <v>9</v>
      </c>
      <c r="D487" t="s">
        <v>29</v>
      </c>
      <c r="E487" t="s">
        <v>50</v>
      </c>
      <c r="F487">
        <v>87.01</v>
      </c>
      <c r="G487">
        <v>4</v>
      </c>
      <c r="H487">
        <v>109.66</v>
      </c>
      <c r="I487">
        <f>YEAR(SalesData[[#This Row],[Order Date]])</f>
        <v>2023</v>
      </c>
    </row>
    <row r="488" spans="1:9" x14ac:dyDescent="0.25">
      <c r="A488" t="s">
        <v>510</v>
      </c>
      <c r="B488" s="1">
        <v>44823</v>
      </c>
      <c r="C488" t="s">
        <v>20</v>
      </c>
      <c r="D488" t="s">
        <v>10</v>
      </c>
      <c r="E488" t="s">
        <v>24</v>
      </c>
      <c r="F488">
        <v>969.88</v>
      </c>
      <c r="G488">
        <v>10</v>
      </c>
      <c r="H488">
        <v>298.04000000000002</v>
      </c>
      <c r="I488">
        <f>YEAR(SalesData[[#This Row],[Order Date]])</f>
        <v>2022</v>
      </c>
    </row>
    <row r="489" spans="1:9" x14ac:dyDescent="0.25">
      <c r="A489" t="s">
        <v>511</v>
      </c>
      <c r="B489" s="1">
        <v>44814</v>
      </c>
      <c r="C489" t="s">
        <v>13</v>
      </c>
      <c r="D489" t="s">
        <v>29</v>
      </c>
      <c r="E489" t="s">
        <v>40</v>
      </c>
      <c r="F489">
        <v>106.11</v>
      </c>
      <c r="G489">
        <v>1</v>
      </c>
      <c r="H489">
        <v>32.83</v>
      </c>
      <c r="I489">
        <f>YEAR(SalesData[[#This Row],[Order Date]])</f>
        <v>2022</v>
      </c>
    </row>
    <row r="490" spans="1:9" x14ac:dyDescent="0.25">
      <c r="A490" t="s">
        <v>512</v>
      </c>
      <c r="B490" s="1">
        <v>45140</v>
      </c>
      <c r="C490" t="s">
        <v>16</v>
      </c>
      <c r="D490" t="s">
        <v>10</v>
      </c>
      <c r="E490" t="s">
        <v>11</v>
      </c>
      <c r="F490">
        <v>735.6</v>
      </c>
      <c r="G490">
        <v>5</v>
      </c>
      <c r="H490">
        <v>214.9</v>
      </c>
      <c r="I490">
        <f>YEAR(SalesData[[#This Row],[Order Date]])</f>
        <v>2023</v>
      </c>
    </row>
    <row r="491" spans="1:9" x14ac:dyDescent="0.25">
      <c r="A491" t="s">
        <v>513</v>
      </c>
      <c r="B491" s="1">
        <v>45245</v>
      </c>
      <c r="C491" t="s">
        <v>20</v>
      </c>
      <c r="D491" t="s">
        <v>10</v>
      </c>
      <c r="E491" t="s">
        <v>14</v>
      </c>
      <c r="F491">
        <v>467.22</v>
      </c>
      <c r="G491">
        <v>6</v>
      </c>
      <c r="H491">
        <v>51.83</v>
      </c>
      <c r="I491">
        <f>YEAR(SalesData[[#This Row],[Order Date]])</f>
        <v>2023</v>
      </c>
    </row>
    <row r="492" spans="1:9" x14ac:dyDescent="0.25">
      <c r="A492" t="s">
        <v>514</v>
      </c>
      <c r="B492" s="1">
        <v>44706</v>
      </c>
      <c r="C492" t="s">
        <v>9</v>
      </c>
      <c r="D492" t="s">
        <v>10</v>
      </c>
      <c r="E492" t="s">
        <v>14</v>
      </c>
      <c r="F492">
        <v>74.03</v>
      </c>
      <c r="G492">
        <v>10</v>
      </c>
      <c r="H492">
        <v>-8.4700000000000006</v>
      </c>
      <c r="I492">
        <f>YEAR(SalesData[[#This Row],[Order Date]])</f>
        <v>2022</v>
      </c>
    </row>
    <row r="493" spans="1:9" x14ac:dyDescent="0.25">
      <c r="A493" t="s">
        <v>515</v>
      </c>
      <c r="B493" s="1">
        <v>44602</v>
      </c>
      <c r="C493" t="s">
        <v>9</v>
      </c>
      <c r="D493" t="s">
        <v>29</v>
      </c>
      <c r="E493" t="s">
        <v>50</v>
      </c>
      <c r="F493">
        <v>174.93</v>
      </c>
      <c r="G493">
        <v>4</v>
      </c>
      <c r="H493">
        <v>116.64</v>
      </c>
      <c r="I493">
        <f>YEAR(SalesData[[#This Row],[Order Date]])</f>
        <v>2022</v>
      </c>
    </row>
    <row r="494" spans="1:9" x14ac:dyDescent="0.25">
      <c r="A494" t="s">
        <v>516</v>
      </c>
      <c r="B494" s="1">
        <v>45118</v>
      </c>
      <c r="C494" t="s">
        <v>20</v>
      </c>
      <c r="D494" t="s">
        <v>17</v>
      </c>
      <c r="E494" t="s">
        <v>62</v>
      </c>
      <c r="F494">
        <v>689.84</v>
      </c>
      <c r="G494">
        <v>7</v>
      </c>
      <c r="H494">
        <v>-11.94</v>
      </c>
      <c r="I494">
        <f>YEAR(SalesData[[#This Row],[Order Date]])</f>
        <v>2023</v>
      </c>
    </row>
    <row r="495" spans="1:9" x14ac:dyDescent="0.25">
      <c r="A495" t="s">
        <v>517</v>
      </c>
      <c r="B495" s="1">
        <v>45018</v>
      </c>
      <c r="C495" t="s">
        <v>20</v>
      </c>
      <c r="D495" t="s">
        <v>17</v>
      </c>
      <c r="E495" t="s">
        <v>18</v>
      </c>
      <c r="F495">
        <v>918.78</v>
      </c>
      <c r="G495">
        <v>8</v>
      </c>
      <c r="H495">
        <v>82.63</v>
      </c>
      <c r="I495">
        <f>YEAR(SalesData[[#This Row],[Order Date]])</f>
        <v>2023</v>
      </c>
    </row>
    <row r="496" spans="1:9" x14ac:dyDescent="0.25">
      <c r="A496" t="s">
        <v>518</v>
      </c>
      <c r="B496" s="1">
        <v>45043</v>
      </c>
      <c r="C496" t="s">
        <v>9</v>
      </c>
      <c r="D496" t="s">
        <v>29</v>
      </c>
      <c r="E496" t="s">
        <v>50</v>
      </c>
      <c r="F496">
        <v>78.17</v>
      </c>
      <c r="G496">
        <v>4</v>
      </c>
      <c r="H496">
        <v>-168.1</v>
      </c>
      <c r="I496">
        <f>YEAR(SalesData[[#This Row],[Order Date]])</f>
        <v>2023</v>
      </c>
    </row>
    <row r="497" spans="1:9" x14ac:dyDescent="0.25">
      <c r="A497" t="s">
        <v>519</v>
      </c>
      <c r="B497" s="1">
        <v>44786</v>
      </c>
      <c r="C497" t="s">
        <v>9</v>
      </c>
      <c r="D497" t="s">
        <v>29</v>
      </c>
      <c r="E497" t="s">
        <v>30</v>
      </c>
      <c r="F497">
        <v>340.72</v>
      </c>
      <c r="G497">
        <v>9</v>
      </c>
      <c r="H497">
        <v>-185.66</v>
      </c>
      <c r="I497">
        <f>YEAR(SalesData[[#This Row],[Order Date]])</f>
        <v>2022</v>
      </c>
    </row>
    <row r="498" spans="1:9" x14ac:dyDescent="0.25">
      <c r="A498" t="s">
        <v>520</v>
      </c>
      <c r="B498" s="1">
        <v>44961</v>
      </c>
      <c r="C498" t="s">
        <v>9</v>
      </c>
      <c r="D498" t="s">
        <v>10</v>
      </c>
      <c r="E498" t="s">
        <v>24</v>
      </c>
      <c r="F498">
        <v>176.68</v>
      </c>
      <c r="G498">
        <v>5</v>
      </c>
      <c r="H498">
        <v>140.22</v>
      </c>
      <c r="I498">
        <f>YEAR(SalesData[[#This Row],[Order Date]])</f>
        <v>2023</v>
      </c>
    </row>
    <row r="499" spans="1:9" x14ac:dyDescent="0.25">
      <c r="A499" t="s">
        <v>521</v>
      </c>
      <c r="B499" s="1">
        <v>44784</v>
      </c>
      <c r="C499" t="s">
        <v>9</v>
      </c>
      <c r="D499" t="s">
        <v>17</v>
      </c>
      <c r="E499" t="s">
        <v>62</v>
      </c>
      <c r="F499">
        <v>960.31</v>
      </c>
      <c r="G499">
        <v>6</v>
      </c>
      <c r="H499">
        <v>75.23</v>
      </c>
      <c r="I499">
        <f>YEAR(SalesData[[#This Row],[Order Date]])</f>
        <v>2022</v>
      </c>
    </row>
    <row r="500" spans="1:9" x14ac:dyDescent="0.25">
      <c r="A500" t="s">
        <v>522</v>
      </c>
      <c r="B500" s="1">
        <v>44639</v>
      </c>
      <c r="C500" t="s">
        <v>20</v>
      </c>
      <c r="D500" t="s">
        <v>17</v>
      </c>
      <c r="E500" t="s">
        <v>27</v>
      </c>
      <c r="F500">
        <v>126.81</v>
      </c>
      <c r="G500">
        <v>7</v>
      </c>
      <c r="H500">
        <v>-42.48</v>
      </c>
      <c r="I500">
        <f>YEAR(SalesData[[#This Row],[Order Date]])</f>
        <v>2022</v>
      </c>
    </row>
    <row r="501" spans="1:9" x14ac:dyDescent="0.25">
      <c r="A501" t="s">
        <v>523</v>
      </c>
      <c r="B501" s="1">
        <v>44861</v>
      </c>
      <c r="C501" t="s">
        <v>13</v>
      </c>
      <c r="D501" t="s">
        <v>10</v>
      </c>
      <c r="E501" t="s">
        <v>11</v>
      </c>
      <c r="F501">
        <v>518.29999999999995</v>
      </c>
      <c r="G501">
        <v>9</v>
      </c>
      <c r="H501">
        <v>21.54</v>
      </c>
      <c r="I501">
        <f>YEAR(SalesData[[#This Row],[Order Date]])</f>
        <v>2022</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2026-02-06T10:39:45Z</dcterms:modified>
</cp:coreProperties>
</file>